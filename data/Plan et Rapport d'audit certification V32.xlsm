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233DCCD6-02BB-ED4D-88CF-C4057D10D5CE}" xr6:coauthVersionLast="47" xr6:coauthVersionMax="47" xr10:uidLastSave="{00000000-0000-0000-0000-000000000000}"/>
  <bookViews>
    <workbookView xWindow="0" yWindow="500" windowWidth="28800" windowHeight="16300" tabRatio="758"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<sst xmlns="http://schemas.openxmlformats.org/spreadsheetml/2006/main" count="1055" uniqueCount="502">
  <si>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</si>
  <si>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</si>
  <si>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</si>
  <si>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</si>
  <si>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</si>
  <si>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</si>
  <si>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</si>
  <si>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</si>
  <si>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</si>
  <si>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</si>
  <si>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</si>
  <si>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</si>
  <si>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</si>
  <si>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</si>
  <si>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</si>
  <si>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</si>
  <si>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</si>
  <si>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</si>
  <si>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</si>
  <si>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</si>
  <si>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</si>
  <si>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</si>
  <si>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</si>
  <si>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</si>
  <si>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</si>
  <si>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</si>
  <si>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</si>
  <si>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</si>
  <si>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</si>
  <si>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</si>
  <si>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</si>
  <si>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</si>
  <si>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</si>
  <si>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</si>
  <si>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</si>
  <si>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</si>
  <si>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</si>
  <si>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</si>
  <si>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</si>
  <si>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</si>
  <si>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</si>
  <si>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</si>
  <si>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</si>
  <si>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</si>
  <si>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</si>
  <si>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</si>
  <si>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</si>
  <si>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</si>
  <si>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</si>
  <si>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</si>
  <si>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</si>
  <si>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</si>
  <si>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</si>
  <si>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</si>
  <si>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</si>
  <si>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</si>
  <si>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</si>
  <si>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</si>
  <si>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</si>
  <si>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</si>
  <si>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</si>
  <si>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</si>
  <si>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</si>
  <si>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</si>
  <si>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</si>
  <si>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</si>
  <si>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</si>
  <si>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</si>
  <si>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</si>
  <si>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</si>
  <si>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</si>
  <si>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</si>
  <si>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</si>
  <si>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</si>
  <si>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</si>
  <si>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</si>
  <si>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</si>
  <si>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</si>
  <si>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</si>
  <si>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</si>
  <si>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</si>
  <si>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</si>
  <si>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</si>
  <si>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</si>
  <si>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</si>
  <si>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</si>
  <si>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</si>
  <si>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</si>
  <si>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</si>
  <si>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</si>
  <si>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</si>
  <si>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</si>
  <si>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</si>
  <si>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</si>
  <si>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</si>
  <si>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</si>
  <si>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</si>
  <si>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</si>
  <si>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</si>
  <si>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</si>
  <si>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</si>
  <si>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</si>
  <si>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</si>
  <si>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</si>
  <si>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</si>
  <si>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</si>
  <si>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</si>
  <si>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</si>
  <si>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</si>
  <si>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</si>
  <si>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</si>
  <si>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</si>
  <si>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</si>
  <si>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</si>
  <si>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</si>
  <si>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</si>
  <si>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</si>
  <si>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</si>
  <si>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</si>
  <si>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</si>
  <si>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</si>
  <si>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</si>
  <si>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</si>
  <si>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</si>
  <si>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</si>
  <si>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</si>
  <si>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</si>
  <si>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</si>
  <si>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</si>
  <si>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</si>
  <si>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</si>
  <si>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</si>
  <si>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</si>
  <si>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</si>
  <si>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</si>
  <si>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</si>
  <si>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</si>
  <si>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</si>
  <si>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</si>
  <si>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</si>
  <si>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</si>
  <si>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</si>
  <si>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</si>
  <si>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</si>
  <si>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</si>
  <si>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</si>
  <si>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</si>
  <si>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</si>
  <si>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</si>
  <si>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</si>
  <si>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</si>
  <si>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</si>
  <si>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</si>
  <si>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</si>
  <si>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</si>
  <si>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</si>
  <si>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</si>
  <si>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</si>
  <si>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</si>
  <si>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</si>
  <si>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</si>
  <si>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</si>
  <si>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</si>
  <si>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</si>
  <si>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</si>
  <si>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</si>
  <si>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</si>
  <si>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</si>
  <si>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</si>
  <si>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</si>
  <si>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</si>
  <si>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</si>
  <si>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</si>
  <si>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</si>
  <si>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</si>
  <si>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</si>
  <si>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</si>
  <si>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</si>
  <si>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</si>
  <si>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</si>
  <si>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</si>
  <si>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</si>
  <si>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</si>
  <si>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</si>
  <si>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</si>
  <si>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</si>
  <si>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</si>
  <si>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</si>
  <si>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</si>
  <si>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</si>
  <si>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</si>
  <si>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</si>
  <si>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</si>
  <si>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</si>
  <si>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</si>
  <si>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</si>
  <si>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</si>
  <si>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</si>
  <si>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</si>
  <si>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</si>
  <si>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</si>
  <si>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</si>
  <si>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</si>
  <si>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</si>
  <si>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</si>
  <si>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</si>
  <si>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</si>
  <si>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</si>
  <si>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</si>
  <si>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</si>
  <si>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</si>
  <si>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</si>
  <si>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</si>
  <si>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</si>
  <si>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</si>
  <si>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</si>
  <si>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</si>
  <si>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</si>
  <si>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</si>
  <si>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</si>
  <si>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</si>
  <si>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</si>
  <si>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</si>
  <si>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</si>
  <si>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</si>
  <si>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</si>
  <si>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</si>
  <si>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</si>
  <si>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</si>
  <si>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</si>
  <si>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</si>
  <si>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</si>
  <si>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</si>
  <si>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</si>
  <si>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</si>
  <si>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</si>
  <si>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</si>
  <si>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</si>
  <si>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</si>
  <si>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</si>
  <si>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</si>
  <si>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</si>
  <si>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</si>
  <si>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</si>
  <si>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</si>
  <si>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</si>
  <si>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</si>
  <si>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</si>
  <si>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</si>
  <si>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</si>
  <si>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</si>
  <si>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</si>
  <si>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</si>
  <si>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</si>
  <si>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</si>
  <si>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</si>
  <si>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</si>
  <si>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</si>
  <si>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</si>
  <si>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</si>
  <si>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</si>
  <si>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</si>
  <si>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</si>
  <si>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</si>
  <si>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</si>
  <si>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</si>
  <si>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</si>
  <si>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</si>
  <si>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</si>
  <si>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</si>
  <si>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</si>
  <si>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</si>
  <si>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</si>
  <si>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</si>
  <si>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</si>
  <si>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</si>
  <si>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</si>
  <si>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</si>
  <si>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</si>
  <si>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</si>
  <si>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</si>
  <si>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</si>
  <si>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</si>
  <si>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</si>
  <si>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</si>
  <si>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</si>
  <si>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</si>
  <si>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</si>
  <si>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</si>
  <si>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</si>
  <si>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</si>
  <si>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</si>
  <si>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</si>
  <si>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</si>
  <si>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</si>
  <si>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</si>
  <si>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</si>
  <si>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</si>
  <si>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</si>
  <si>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</si>
  <si>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</si>
  <si>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</si>
  <si>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</si>
  <si>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</si>
  <si>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</si>
  <si>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</si>
  <si>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</si>
  <si>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</si>
  <si>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</si>
  <si>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</si>
  <si>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</si>
  <si>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</si>
  <si>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</si>
  <si>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</si>
  <si>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</si>
  <si>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</si>
  <si>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</si>
  <si>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</si>
  <si>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</si>
  <si>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</si>
  <si>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</si>
  <si>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</si>
  <si>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</si>
  <si>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</si>
  <si>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</si>
  <si>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</si>
  <si>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</si>
  <si>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</si>
  <si>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</si>
  <si>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</si>
  <si>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</si>
  <si>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</si>
  <si>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</si>
  <si>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</si>
  <si>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</si>
  <si>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</si>
  <si>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</si>
  <si>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</si>
  <si>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</si>
  <si>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</si>
  <si>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</si>
  <si>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</si>
  <si>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</si>
  <si>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</si>
  <si>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</si>
  <si>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</si>
  <si>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</si>
  <si>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</si>
  <si>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</si>
  <si>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</si>
  <si>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</si>
  <si>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</si>
  <si>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</si>
  <si>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</si>
  <si>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</si>
  <si>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</si>
  <si>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</si>
  <si>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</si>
  <si>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</si>
  <si>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</si>
  <si>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</si>
  <si>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</si>
  <si>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</si>
  <si>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</si>
  <si>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</si>
  <si>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</si>
  <si>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</si>
  <si>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</si>
  <si>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</si>
  <si>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</si>
  <si>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</si>
  <si>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</si>
  <si>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</si>
  <si>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</si>
  <si>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</si>
  <si>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</si>
  <si>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</si>
  <si>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</si>
  <si>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</si>
  <si>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</si>
  <si>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</si>
  <si>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</si>
  <si>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</si>
  <si>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</si>
  <si>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</si>
  <si>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</si>
  <si>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</si>
  <si>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</si>
  <si>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</si>
  <si>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</si>
  <si>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</si>
  <si>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</si>
  <si>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</si>
  <si>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</si>
  <si>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</si>
  <si>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</si>
  <si>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</si>
  <si>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</si>
  <si>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</si>
  <si>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</si>
  <si>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</si>
  <si>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</si>
  <si>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</si>
  <si>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</si>
  <si>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</si>
  <si>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</si>
  <si>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</si>
  <si>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</si>
  <si>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</si>
  <si>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</si>
  <si>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</si>
  <si>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</si>
  <si>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</si>
  <si>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</si>
  <si>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</si>
  <si>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</si>
  <si>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</si>
  <si>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</si>
  <si>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</si>
  <si>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</si>
  <si>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</si>
  <si>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</si>
  <si>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</si>
  <si>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</si>
  <si>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</si>
  <si>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</si>
  <si>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</si>
  <si>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</si>
  <si>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</si>
  <si>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</si>
  <si>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</si>
  <si>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</si>
  <si>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</si>
  <si>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</si>
  <si>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</si>
  <si>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</si>
  <si>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</si>
  <si>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</si>
  <si>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</si>
  <si>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</si>
  <si>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</si>
  <si>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</si>
  <si>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</si>
  <si>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</si>
  <si>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</si>
  <si>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</si>
  <si>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</si>
  <si>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</si>
  <si>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</si>
  <si>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</si>
  <si>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</si>
  <si>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</si>
  <si>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</si>
  <si>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</si>
  <si>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</si>
  <si>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</si>
  <si>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</si>
  <si>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</si>
  <si>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</si>
  <si>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V32 du rapport (applicable au 08/07/2024)</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</si>
  <si>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</si>
  <si>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</si>
  <si>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</si>
  <si>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</si>
  <si>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</si>
  <si>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</si>
  <si>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</si>
  <si>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</si>
  <si>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</si>
  <si>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</si>
  <si>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</si>
  <si>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</si>
  <si>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</si>
  <si>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</si>
  <si>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</si>
  <si>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</si>
  <si>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</si>
  <si>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</si>
  <si>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</si>
  <si>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</si>
  <si>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</si>
  <si>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</si>
  <si>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</si>
  <si>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</si>
  <si>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</si>
  <si>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</si>
  <si>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</si>
  <si>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</si>
  <si>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</si>
  <si>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</si>
  <si>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</si>
  <si>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</si>
  <si>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</si>
  <si>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</si>
  <si>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</si>
  <si>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V1 : CNEFOP, Formation, BC, VAE, CFA</t>
  </si>
  <si>
    <t>7,8,</t>
  </si>
  <si>
    <t>11,12,13,14,15,16,</t>
  </si>
  <si>
    <t>20,</t>
  </si>
  <si>
    <t>22,</t>
  </si>
  <si>
    <t>24,25,26,28,29,</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</si>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</sst>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
      <sz val="8"/>
      <color rgb="FF000000"/>
      <name val="Segoe UI"/>
      <charset val="1"/>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2">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6" fillId="0" borderId="0" xfId="0" applyFont="1"/>
    <xf numFmtId="0" fontId="36"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40" fillId="4" borderId="56"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9" fillId="0" borderId="0" xfId="0" applyFont="1" applyAlignment="1">
      <alignment horizontal="center" vertical="center" wrapText="1"/>
    </xf>
    <xf numFmtId="0" fontId="42" fillId="28" borderId="1" xfId="0" applyFont="1" applyFill="1" applyBorder="1" applyAlignment="1">
      <alignment horizontal="center" vertical="center" wrapText="1"/>
    </xf>
    <xf numFmtId="0" fontId="39" fillId="0" borderId="0" xfId="0" applyFont="1"/>
    <xf numFmtId="0" fontId="39" fillId="0" borderId="1" xfId="0" applyFont="1" applyBorder="1" applyAlignment="1">
      <alignment horizontal="left" vertical="center" wrapText="1"/>
    </xf>
    <xf numFmtId="0" fontId="39" fillId="0" borderId="1" xfId="0" applyFont="1" applyBorder="1" applyAlignment="1">
      <alignment horizontal="center" vertical="center" wrapText="1"/>
    </xf>
    <xf numFmtId="0" fontId="39" fillId="0" borderId="1" xfId="0" applyFont="1" applyBorder="1" applyAlignment="1">
      <alignment horizontal="center" vertical="center"/>
    </xf>
    <xf numFmtId="0" fontId="37" fillId="4" borderId="1" xfId="0" applyFont="1" applyFill="1" applyBorder="1" applyAlignment="1">
      <alignment horizontal="center" vertical="center" wrapText="1" readingOrder="1"/>
    </xf>
    <xf numFmtId="0" fontId="40" fillId="4" borderId="1" xfId="0" applyFont="1" applyFill="1" applyBorder="1" applyAlignment="1">
      <alignment horizontal="center" vertical="center" wrapText="1" readingOrder="1"/>
    </xf>
    <xf numFmtId="0" fontId="36" fillId="0" borderId="1" xfId="0" applyFont="1" applyBorder="1" applyAlignment="1">
      <alignment horizontal="center" vertical="center"/>
    </xf>
    <xf numFmtId="0" fontId="36" fillId="0" borderId="1" xfId="0" applyFont="1" applyBorder="1" applyAlignment="1">
      <alignment horizontal="left"/>
    </xf>
    <xf numFmtId="0" fontId="36" fillId="0" borderId="1" xfId="0" applyFont="1" applyBorder="1"/>
    <xf numFmtId="0" fontId="43"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1" fillId="8" borderId="35" xfId="0" applyFont="1" applyFill="1" applyBorder="1" applyAlignment="1">
      <alignment horizontal="left"/>
    </xf>
    <xf numFmtId="0" fontId="0" fillId="0" borderId="32" xfId="0" applyBorder="1" applyAlignment="1">
      <alignment horizontal="center"/>
    </xf>
    <xf numFmtId="0" fontId="0" fillId="0" borderId="33" xfId="0" applyBorder="1" applyAlignment="1">
      <alignment horizontal="center"/>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2" fillId="8" borderId="1" xfId="0" applyFont="1" applyFill="1" applyBorder="1" applyAlignment="1">
      <alignment horizont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6" fillId="0" borderId="40" xfId="0" applyFont="1" applyBorder="1" applyAlignment="1">
      <alignment horizontal="center"/>
    </xf>
    <xf numFmtId="0" fontId="36"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 xfId="0" applyBorder="1" applyAlignment="1">
      <alignment horizontal="left" vertical="center" wrapText="1"/>
    </xf>
    <xf numFmtId="0" fontId="36" fillId="0" borderId="1" xfId="0" applyFont="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12" fillId="8" borderId="32" xfId="0" applyFont="1" applyFill="1" applyBorder="1" applyAlignment="1">
      <alignment horizontal="center"/>
    </xf>
    <xf numFmtId="0" fontId="12" fillId="8" borderId="33" xfId="0" applyFont="1" applyFill="1" applyBorder="1" applyAlignment="1">
      <alignment horizontal="center"/>
    </xf>
    <xf numFmtId="0" fontId="0" fillId="0" borderId="1" xfId="0" applyBorder="1" applyAlignment="1">
      <alignment horizontal="left" vertical="center"/>
    </xf>
    <xf numFmtId="0" fontId="36" fillId="0" borderId="1" xfId="0" applyFont="1" applyBorder="1" applyAlignment="1">
      <alignment horizontal="center" vertic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36" fillId="0" borderId="1" xfId="0" applyFont="1" applyBorder="1" applyAlignment="1" applyProtection="1">
      <alignment horizontal="center"/>
      <protection locked="0"/>
    </xf>
    <xf numFmtId="0" fontId="36" fillId="4" borderId="1" xfId="0" applyFont="1" applyFill="1" applyBorder="1" applyAlignment="1">
      <alignment horizontal="center" vertical="center"/>
    </xf>
    <xf numFmtId="0" fontId="0" fillId="0" borderId="1" xfId="0" applyBorder="1" applyAlignment="1" applyProtection="1">
      <alignment horizontal="center"/>
      <protection locked="0"/>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29" fillId="0" borderId="0" xfId="1" applyFill="1" applyAlignment="1" applyProtection="1">
      <alignment vertical="top" wrapText="1"/>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5" xfId="0" applyFont="1" applyFill="1"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2" fillId="28" borderId="1" xfId="0" applyFont="1" applyFill="1" applyBorder="1" applyAlignment="1">
      <alignment horizontal="center" vertical="center" wrapText="1"/>
    </xf>
    <xf numFmtId="0" fontId="39" fillId="28" borderId="1" xfId="0" applyFont="1" applyFill="1" applyBorder="1" applyAlignment="1">
      <alignment horizontal="center" vertical="center" wrapText="1"/>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40" fillId="28" borderId="48" xfId="0" applyFont="1" applyFill="1" applyBorder="1" applyAlignment="1">
      <alignment horizontal="center" vertical="center" wrapText="1" readingOrder="1"/>
    </xf>
    <xf numFmtId="0" fontId="40" fillId="28" borderId="49" xfId="0" applyFont="1" applyFill="1" applyBorder="1" applyAlignment="1">
      <alignment horizontal="center" vertical="center" wrapText="1" readingOrder="1"/>
    </xf>
    <xf numFmtId="0" fontId="40" fillId="28" borderId="50" xfId="0" applyFont="1" applyFill="1" applyBorder="1" applyAlignment="1">
      <alignment horizontal="center" vertical="center" wrapText="1" readingOrder="1"/>
    </xf>
    <xf numFmtId="0" fontId="37" fillId="28" borderId="52" xfId="0" applyFont="1" applyFill="1" applyBorder="1" applyAlignment="1">
      <alignment horizontal="center" vertical="center" wrapText="1" readingOrder="1"/>
    </xf>
    <xf numFmtId="0" fontId="37" fillId="28" borderId="53" xfId="0" applyFont="1" applyFill="1" applyBorder="1" applyAlignment="1">
      <alignment horizontal="center" vertical="center" wrapText="1" readingOrder="1"/>
    </xf>
    <xf numFmtId="0" fontId="37" fillId="28" borderId="54" xfId="0" applyFont="1" applyFill="1" applyBorder="1" applyAlignment="1">
      <alignment horizontal="center" vertical="center" wrapText="1" readingOrder="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39" fillId="0" borderId="1" xfId="0" applyFont="1" applyBorder="1" applyAlignment="1">
      <alignment horizontal="left" vertical="center" wrapText="1"/>
    </xf>
    <xf numFmtId="0" fontId="37" fillId="4" borderId="1" xfId="0" applyFont="1" applyFill="1" applyBorder="1" applyAlignment="1">
      <alignment horizontal="center" vertical="center" wrapText="1" readingOrder="1"/>
    </xf>
    <xf numFmtId="0" fontId="40" fillId="28" borderId="1" xfId="0" applyFont="1" applyFill="1" applyBorder="1" applyAlignment="1">
      <alignment horizontal="center" vertical="center" wrapText="1" readingOrder="1"/>
    </xf>
    <xf numFmtId="0" fontId="37" fillId="28" borderId="1" xfId="0" applyFont="1" applyFill="1" applyBorder="1" applyAlignment="1">
      <alignment horizontal="center" vertical="center" wrapText="1" readingOrder="1"/>
    </xf>
    <xf numFmtId="0" fontId="42" fillId="28" borderId="32" xfId="0" applyFont="1" applyFill="1" applyBorder="1" applyAlignment="1">
      <alignment horizontal="center" vertical="center"/>
    </xf>
    <xf numFmtId="0" fontId="42" fillId="28" borderId="33" xfId="0" applyFont="1" applyFill="1" applyBorder="1" applyAlignment="1">
      <alignment horizontal="center" vertical="center"/>
    </xf>
    <xf numFmtId="0" fontId="39" fillId="28" borderId="32" xfId="0" applyFont="1" applyFill="1" applyBorder="1" applyAlignment="1">
      <alignment horizontal="center" vertical="center" wrapText="1"/>
    </xf>
    <xf numFmtId="0" fontId="39" fillId="28" borderId="33" xfId="0" applyFont="1" applyFill="1" applyBorder="1" applyAlignment="1">
      <alignment horizontal="center" vertical="center" wrapText="1"/>
    </xf>
    <xf numFmtId="0" fontId="39" fillId="0" borderId="1" xfId="0" applyFont="1" applyBorder="1" applyAlignment="1">
      <alignment horizontal="center" vertical="center" wrapText="1"/>
    </xf>
    <xf numFmtId="0" fontId="1" fillId="28" borderId="1" xfId="0" applyFont="1" applyFill="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 fillId="0" borderId="1" xfId="0" applyFont="1" applyBorder="1" applyAlignment="1">
      <alignment horizontal="center" vertical="center" wrapText="1"/>
    </xf>
    <xf numFmtId="0" fontId="0" fillId="27" borderId="1" xfId="0" applyFill="1" applyBorder="1" applyAlignment="1">
      <alignment horizontal="left" vertical="center" wrapText="1"/>
    </xf>
    <xf numFmtId="0" fontId="2" fillId="15" borderId="1" xfId="0" applyFont="1" applyFill="1" applyBorder="1" applyAlignment="1">
      <alignment horizontal="center" vertical="center" wrapText="1"/>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0" borderId="1" xfId="0" applyFont="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0" xfId="0" applyBorder="1" applyAlignment="1">
      <alignment horizontal="center" vertical="center" wrapText="1"/>
    </xf>
    <xf numFmtId="0" fontId="0" fillId="0" borderId="27"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1" xfId="0" applyBorder="1" applyAlignment="1">
      <alignment horizontal="center" vertical="center" wrapText="1"/>
    </xf>
    <xf numFmtId="0" fontId="0" fillId="0" borderId="16" xfId="0"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165100</xdr:rowOff>
        </xdr:from>
        <xdr:to>
          <xdr:col>5</xdr:col>
          <xdr:colOff>673100</xdr:colOff>
          <xdr:row>22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660400</xdr:colOff>
          <xdr:row>24</xdr:row>
          <xdr:rowOff>215900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24</xdr:row>
          <xdr:rowOff>215900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36</xdr:row>
          <xdr:rowOff>215900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12700</xdr:rowOff>
        </xdr:from>
        <xdr:to>
          <xdr:col>6</xdr:col>
          <xdr:colOff>241300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29</xdr:row>
          <xdr:rowOff>215900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30</xdr:row>
          <xdr:rowOff>215900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177800</xdr:rowOff>
        </xdr:from>
        <xdr:to>
          <xdr:col>5</xdr:col>
          <xdr:colOff>673100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152400</xdr:rowOff>
        </xdr:from>
        <xdr:to>
          <xdr:col>5</xdr:col>
          <xdr:colOff>749300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139700</xdr:rowOff>
        </xdr:from>
        <xdr:to>
          <xdr:col>2</xdr:col>
          <xdr:colOff>368300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36</xdr:row>
          <xdr:rowOff>215900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32</xdr:row>
          <xdr:rowOff>215900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32</xdr:row>
          <xdr:rowOff>12700</xdr:rowOff>
        </xdr:from>
        <xdr:to>
          <xdr:col>2</xdr:col>
          <xdr:colOff>787400</xdr:colOff>
          <xdr:row>32</xdr:row>
          <xdr:rowOff>215900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36</xdr:row>
          <xdr:rowOff>215900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36</xdr:row>
          <xdr:rowOff>215900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203200</xdr:rowOff>
        </xdr:from>
        <xdr:to>
          <xdr:col>1</xdr:col>
          <xdr:colOff>723900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165100</xdr:rowOff>
        </xdr:from>
        <xdr:to>
          <xdr:col>1</xdr:col>
          <xdr:colOff>889000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101600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41</xdr:row>
          <xdr:rowOff>165100</xdr:rowOff>
        </xdr:from>
        <xdr:to>
          <xdr:col>2</xdr:col>
          <xdr:colOff>787400</xdr:colOff>
          <xdr:row>42</xdr:row>
          <xdr:rowOff>215900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41</xdr:row>
          <xdr:rowOff>165100</xdr:rowOff>
        </xdr:from>
        <xdr:to>
          <xdr:col>2</xdr:col>
          <xdr:colOff>1244600</xdr:colOff>
          <xdr:row>42</xdr:row>
          <xdr:rowOff>215900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39</xdr:row>
          <xdr:rowOff>279400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tabSelected="1" zoomScaleNormal="100" zoomScalePageLayoutView="65" workbookViewId="0"/>
  </sheetViews>
  <sheetFormatPr baseColWidth="10" defaultRowHeight="15" x14ac:dyDescent="0.2"/>
  <sheetData>
    <row r="48" spans="1:7" x14ac:dyDescent="0.2">
      <c r="A48" s="162" t="s">
        <v>100</v>
      </c>
      <c r="B48" s="162"/>
      <c r="C48" s="162"/>
      <c r="D48" s="162"/>
      <c r="E48" s="162"/>
      <c r="F48" s="162"/>
      <c r="G48" s="162"/>
    </row>
    <row r="49" spans="1:7" x14ac:dyDescent="0.2">
      <c r="A49" s="163" t="s">
        <v>458</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opLeftCell="A27" zoomScale="85" zoomScaleNormal="85" zoomScaleSheetLayoutView="80" zoomScalePageLayoutView="65" workbookViewId="0">
      <selection activeCell="G54" sqref="G54:G55"/>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201</v>
      </c>
    </row>
    <row r="3" spans="1:7" s="88" customFormat="1" x14ac:dyDescent="0.2">
      <c r="A3" s="88" t="s">
        <v>122</v>
      </c>
      <c r="B3" s="89"/>
      <c r="C3" s="89"/>
      <c r="G3"/>
    </row>
    <row r="4" spans="1:7" s="88" customFormat="1" x14ac:dyDescent="0.2">
      <c r="A4" s="238" t="s">
        <v>128</v>
      </c>
      <c r="B4" s="238"/>
      <c r="C4" s="238"/>
      <c r="G4"/>
    </row>
    <row r="5" spans="1:7" x14ac:dyDescent="0.2">
      <c r="A5" s="238"/>
      <c r="B5" s="238"/>
      <c r="C5" s="238"/>
    </row>
    <row r="6" spans="1:7" ht="14.5" customHeight="1" x14ac:dyDescent="0.2">
      <c r="A6" s="98" t="s">
        <v>172</v>
      </c>
      <c r="B6" s="227"/>
      <c r="C6" s="228"/>
      <c r="E6" s="99" t="s">
        <v>459</v>
      </c>
    </row>
    <row r="7" spans="1:7" ht="14.5" customHeight="1" x14ac:dyDescent="0.2">
      <c r="A7" s="98" t="s">
        <v>107</v>
      </c>
      <c r="B7" s="227"/>
      <c r="C7" s="228"/>
    </row>
    <row r="8" spans="1:7" ht="14.5" customHeight="1" x14ac:dyDescent="0.2">
      <c r="A8" s="98" t="s">
        <v>248</v>
      </c>
      <c r="B8" s="225"/>
      <c r="C8" s="226"/>
      <c r="E8" s="100" t="s">
        <v>21</v>
      </c>
      <c r="F8" s="227"/>
      <c r="G8" s="228"/>
    </row>
    <row r="9" spans="1:7" ht="14.5" customHeight="1" x14ac:dyDescent="0.2">
      <c r="A9" s="145" t="s">
        <v>169</v>
      </c>
      <c r="B9" s="231" t="b">
        <v>0</v>
      </c>
      <c r="C9" s="231"/>
      <c r="E9" s="101" t="s">
        <v>12</v>
      </c>
      <c r="F9" s="229"/>
      <c r="G9" s="230"/>
    </row>
    <row r="10" spans="1:7" ht="14.5" customHeight="1" x14ac:dyDescent="0.2">
      <c r="A10" s="145" t="s">
        <v>173</v>
      </c>
      <c r="B10" s="231" t="b">
        <v>0</v>
      </c>
      <c r="C10" s="231"/>
      <c r="E10" s="102" t="s">
        <v>13</v>
      </c>
      <c r="F10" s="227"/>
      <c r="G10" s="228"/>
    </row>
    <row r="11" spans="1:7" ht="14.5" customHeight="1" x14ac:dyDescent="0.2">
      <c r="A11" s="41"/>
    </row>
    <row r="12" spans="1:7" ht="14.5" customHeight="1" x14ac:dyDescent="0.2">
      <c r="A12" s="143" t="s">
        <v>117</v>
      </c>
      <c r="B12" s="233"/>
      <c r="C12" s="233"/>
      <c r="E12" s="221" t="s">
        <v>68</v>
      </c>
      <c r="F12" s="242"/>
      <c r="G12" s="222"/>
    </row>
    <row r="13" spans="1:7" ht="14.5" customHeight="1" x14ac:dyDescent="0.2">
      <c r="A13" s="144" t="s">
        <v>6</v>
      </c>
      <c r="B13" s="233"/>
      <c r="C13" s="233"/>
      <c r="E13" s="239" t="s">
        <v>171</v>
      </c>
      <c r="F13" s="240"/>
      <c r="G13" s="241"/>
    </row>
    <row r="14" spans="1:7" ht="14.5" customHeight="1" x14ac:dyDescent="0.2">
      <c r="A14" s="144" t="s">
        <v>7</v>
      </c>
      <c r="B14" s="233"/>
      <c r="C14" s="233"/>
      <c r="E14" s="243" t="s">
        <v>129</v>
      </c>
      <c r="F14" s="244"/>
      <c r="G14" s="245"/>
    </row>
    <row r="15" spans="1:7" x14ac:dyDescent="0.2">
      <c r="A15" s="144" t="s">
        <v>8</v>
      </c>
      <c r="B15" s="233"/>
      <c r="C15" s="233"/>
    </row>
    <row r="16" spans="1:7" ht="14.5" customHeight="1" x14ac:dyDescent="0.2">
      <c r="A16" s="144" t="s">
        <v>443</v>
      </c>
      <c r="B16" s="233"/>
      <c r="C16" s="233"/>
      <c r="E16" s="60" t="s">
        <v>136</v>
      </c>
      <c r="F16" s="60" t="s">
        <v>131</v>
      </c>
      <c r="G16" s="60" t="s">
        <v>132</v>
      </c>
    </row>
    <row r="17" spans="1:9" ht="14.5" customHeight="1" x14ac:dyDescent="0.2">
      <c r="A17" s="144" t="s">
        <v>444</v>
      </c>
      <c r="B17" s="233"/>
      <c r="C17" s="233"/>
      <c r="E17" s="103" t="s">
        <v>135</v>
      </c>
      <c r="F17" s="160" t="b">
        <v>0</v>
      </c>
      <c r="G17" s="160" t="b">
        <v>0</v>
      </c>
    </row>
    <row r="18" spans="1:9" ht="16" x14ac:dyDescent="0.2">
      <c r="E18" s="103" t="s">
        <v>133</v>
      </c>
      <c r="F18" s="160" t="b">
        <v>0</v>
      </c>
      <c r="G18" s="160" t="b">
        <v>0</v>
      </c>
    </row>
    <row r="19" spans="1:9" ht="16" x14ac:dyDescent="0.2">
      <c r="A19" s="42"/>
      <c r="B19" s="42"/>
      <c r="C19" s="42"/>
      <c r="E19" s="104" t="s">
        <v>174</v>
      </c>
      <c r="F19" s="165"/>
      <c r="G19" s="166"/>
    </row>
    <row r="20" spans="1:9" x14ac:dyDescent="0.2">
      <c r="A20" s="234" t="s">
        <v>9</v>
      </c>
      <c r="B20" s="234"/>
      <c r="C20" s="234"/>
    </row>
    <row r="21" spans="1:9" x14ac:dyDescent="0.2">
      <c r="A21" s="105" t="s">
        <v>10</v>
      </c>
      <c r="B21" s="227"/>
      <c r="C21" s="228"/>
      <c r="E21" s="60" t="s">
        <v>197</v>
      </c>
      <c r="F21" s="61" t="s">
        <v>104</v>
      </c>
      <c r="G21" s="60" t="s">
        <v>96</v>
      </c>
    </row>
    <row r="22" spans="1:9" x14ac:dyDescent="0.2">
      <c r="A22" s="105" t="s">
        <v>11</v>
      </c>
      <c r="B22" s="227"/>
      <c r="C22" s="228"/>
      <c r="E22" s="45" t="s">
        <v>198</v>
      </c>
      <c r="F22" s="142" t="b">
        <v>0</v>
      </c>
      <c r="G22" s="142" t="b">
        <v>0</v>
      </c>
      <c r="I22" s="141" t="str">
        <f>IF(OR(F22=TRUE,G22=TRUE),"AF, ","")</f>
        <v/>
      </c>
    </row>
    <row r="23" spans="1:9" x14ac:dyDescent="0.2">
      <c r="A23" s="105" t="s">
        <v>12</v>
      </c>
      <c r="B23" s="229"/>
      <c r="C23" s="230"/>
      <c r="E23" s="45" t="s">
        <v>396</v>
      </c>
      <c r="F23" s="142" t="b">
        <v>0</v>
      </c>
      <c r="G23" s="142" t="b">
        <v>0</v>
      </c>
      <c r="I23" s="141" t="str">
        <f>IF(OR(F23=TRUE,G23=TRUE),"BC, ","")</f>
        <v/>
      </c>
    </row>
    <row r="24" spans="1:9" x14ac:dyDescent="0.2">
      <c r="A24" s="106" t="s">
        <v>13</v>
      </c>
      <c r="B24" s="227"/>
      <c r="C24" s="228"/>
      <c r="E24" s="45" t="s">
        <v>22</v>
      </c>
      <c r="F24" s="142" t="b">
        <v>0</v>
      </c>
      <c r="G24" s="142" t="b">
        <v>0</v>
      </c>
      <c r="I24" s="141" t="str">
        <f>IF(OR(F24=TRUE,G24=TRUE),"VAE, ","")</f>
        <v/>
      </c>
    </row>
    <row r="25" spans="1:9" ht="17.5" customHeight="1" x14ac:dyDescent="0.2">
      <c r="A25" s="42"/>
      <c r="B25" s="42"/>
      <c r="C25" s="42"/>
      <c r="E25" s="45" t="s">
        <v>69</v>
      </c>
      <c r="F25" s="142" t="b">
        <v>0</v>
      </c>
      <c r="G25" s="142" t="b">
        <v>0</v>
      </c>
      <c r="I25" s="141" t="str">
        <f>IF(OR(F25=TRUE,G25=TRUE),"CFA","")</f>
        <v/>
      </c>
    </row>
    <row r="26" spans="1:9" ht="17.5" customHeight="1" x14ac:dyDescent="0.2">
      <c r="A26" s="235" t="s">
        <v>94</v>
      </c>
      <c r="B26" s="236"/>
      <c r="C26" s="237"/>
    </row>
    <row r="27" spans="1:9" ht="17.5" customHeight="1" x14ac:dyDescent="0.2">
      <c r="A27" s="72" t="s">
        <v>10</v>
      </c>
      <c r="B27" s="225"/>
      <c r="C27" s="226"/>
      <c r="E27" s="197" t="s">
        <v>62</v>
      </c>
      <c r="F27" s="197"/>
      <c r="G27" s="197"/>
    </row>
    <row r="28" spans="1:9" ht="17.5" customHeight="1" x14ac:dyDescent="0.2">
      <c r="A28" s="72" t="s">
        <v>11</v>
      </c>
      <c r="B28" s="225"/>
      <c r="C28" s="226"/>
      <c r="E28" s="43" t="s">
        <v>63</v>
      </c>
      <c r="F28" s="232" t="b">
        <v>0</v>
      </c>
      <c r="G28" s="232"/>
      <c r="I28" t="str">
        <f>IF(F28,"Audit initial, ","")</f>
        <v/>
      </c>
    </row>
    <row r="29" spans="1:9" ht="17.5" customHeight="1" x14ac:dyDescent="0.2">
      <c r="A29" s="72" t="s">
        <v>12</v>
      </c>
      <c r="B29" s="225"/>
      <c r="C29" s="226"/>
      <c r="E29" s="43" t="s">
        <v>64</v>
      </c>
      <c r="F29" s="232" t="b">
        <v>0</v>
      </c>
      <c r="G29" s="232"/>
      <c r="I29" t="str">
        <f>IF(F29,"Audit de surveillance, ","")</f>
        <v/>
      </c>
    </row>
    <row r="30" spans="1:9" ht="17.5" customHeight="1" x14ac:dyDescent="0.2">
      <c r="A30" s="72" t="s">
        <v>13</v>
      </c>
      <c r="B30" s="225"/>
      <c r="C30" s="226"/>
      <c r="E30" s="43" t="s">
        <v>65</v>
      </c>
      <c r="F30" s="232" t="b">
        <v>0</v>
      </c>
      <c r="G30" s="232"/>
      <c r="I30" t="str">
        <f>IF(F30,"Audit de renouvellement, ","")</f>
        <v/>
      </c>
    </row>
    <row r="31" spans="1:9" ht="17.5" customHeight="1" x14ac:dyDescent="0.2">
      <c r="A31" s="42"/>
      <c r="B31" s="42"/>
      <c r="C31" s="42"/>
      <c r="E31" s="43" t="s">
        <v>66</v>
      </c>
      <c r="F31" s="232" t="b">
        <v>0</v>
      </c>
      <c r="G31" s="232"/>
      <c r="I31" t="str">
        <f>IF(F31,"Audit d'extension, ","")</f>
        <v/>
      </c>
    </row>
    <row r="32" spans="1:9" ht="17.5" customHeight="1" x14ac:dyDescent="0.2">
      <c r="A32" s="132" t="s">
        <v>252</v>
      </c>
      <c r="B32" s="133" t="s">
        <v>131</v>
      </c>
      <c r="C32" s="133" t="s">
        <v>132</v>
      </c>
      <c r="E32" s="43" t="s">
        <v>67</v>
      </c>
      <c r="F32" s="232" t="b">
        <v>0</v>
      </c>
      <c r="G32" s="232"/>
      <c r="I32" t="str">
        <f>IF(F32,"Audit complémentaire, ","")</f>
        <v/>
      </c>
    </row>
    <row r="33" spans="1:9" ht="17.5" customHeight="1" x14ac:dyDescent="0.2">
      <c r="A33" s="129" t="s">
        <v>282</v>
      </c>
      <c r="B33" s="158" t="b">
        <v>0</v>
      </c>
      <c r="C33" s="158" t="b">
        <v>0</v>
      </c>
      <c r="E33" s="140" t="s">
        <v>276</v>
      </c>
      <c r="F33" s="224" t="b">
        <v>0</v>
      </c>
      <c r="G33" s="224"/>
      <c r="I33" t="str">
        <f>IF(F33,"Audit ajout de site, ","")</f>
        <v/>
      </c>
    </row>
    <row r="34" spans="1:9" ht="17.5" customHeight="1" x14ac:dyDescent="0.2">
      <c r="A34" s="211" t="s">
        <v>277</v>
      </c>
      <c r="B34" s="224" t="b">
        <v>0</v>
      </c>
      <c r="C34" s="224" t="b">
        <v>0</v>
      </c>
      <c r="E34" s="43" t="s">
        <v>247</v>
      </c>
      <c r="F34" s="199"/>
      <c r="G34" s="199"/>
      <c r="I34" t="str">
        <f>IF(F34=0,"",F34)</f>
        <v/>
      </c>
    </row>
    <row r="35" spans="1:9" ht="24" customHeight="1" x14ac:dyDescent="0.2">
      <c r="A35" s="211"/>
      <c r="B35" s="224"/>
      <c r="C35" s="224"/>
    </row>
    <row r="36" spans="1:9" ht="28.25" customHeight="1" x14ac:dyDescent="0.2">
      <c r="A36" s="128" t="s">
        <v>349</v>
      </c>
      <c r="B36" s="159" t="b">
        <v>0</v>
      </c>
      <c r="C36" s="159" t="b">
        <v>0</v>
      </c>
      <c r="F36" s="60" t="s">
        <v>131</v>
      </c>
      <c r="G36" s="60" t="s">
        <v>132</v>
      </c>
      <c r="H36" s="93" t="s">
        <v>250</v>
      </c>
    </row>
    <row r="37" spans="1:9" ht="17.5" customHeight="1" x14ac:dyDescent="0.2">
      <c r="A37" s="129" t="s">
        <v>278</v>
      </c>
      <c r="B37" s="159" t="b">
        <v>0</v>
      </c>
      <c r="C37" s="159" t="b">
        <v>0</v>
      </c>
      <c r="E37" s="44" t="s">
        <v>419</v>
      </c>
      <c r="F37" s="158" t="b">
        <v>0</v>
      </c>
      <c r="G37" s="158" t="b">
        <v>0</v>
      </c>
      <c r="H37" s="160" t="b">
        <v>0</v>
      </c>
    </row>
    <row r="38" spans="1:9" x14ac:dyDescent="0.2">
      <c r="A38" s="129" t="s">
        <v>279</v>
      </c>
      <c r="B38" s="159" t="b">
        <v>0</v>
      </c>
      <c r="C38" s="159" t="b">
        <v>0</v>
      </c>
    </row>
    <row r="39" spans="1:9" ht="32" x14ac:dyDescent="0.2">
      <c r="A39" s="128" t="s">
        <v>280</v>
      </c>
      <c r="B39" s="159" t="b">
        <v>0</v>
      </c>
      <c r="C39" s="159" t="b">
        <v>0</v>
      </c>
      <c r="E39" s="60" t="s">
        <v>170</v>
      </c>
      <c r="F39" s="93" t="s">
        <v>131</v>
      </c>
      <c r="G39" s="93" t="s">
        <v>132</v>
      </c>
      <c r="H39" s="93" t="s">
        <v>250</v>
      </c>
    </row>
    <row r="40" spans="1:9" ht="28.75" customHeight="1" x14ac:dyDescent="0.2">
      <c r="A40" s="128" t="s">
        <v>281</v>
      </c>
      <c r="B40" s="160" t="b">
        <v>0</v>
      </c>
      <c r="C40" s="159" t="b">
        <v>0</v>
      </c>
      <c r="E40" s="128" t="s">
        <v>418</v>
      </c>
      <c r="F40" s="160" t="b">
        <v>0</v>
      </c>
      <c r="G40" s="160" t="b">
        <v>0</v>
      </c>
      <c r="H40" s="160" t="b">
        <v>0</v>
      </c>
    </row>
    <row r="41" spans="1:9" ht="28.75" customHeight="1" x14ac:dyDescent="0.2">
      <c r="A41" s="128" t="s">
        <v>393</v>
      </c>
      <c r="B41" s="160" t="b">
        <v>0</v>
      </c>
      <c r="C41" s="159" t="b">
        <v>0</v>
      </c>
      <c r="D41" s="141" t="b">
        <v>0</v>
      </c>
      <c r="E41" s="211" t="s">
        <v>234</v>
      </c>
      <c r="F41" s="212" t="b">
        <v>0</v>
      </c>
      <c r="G41" s="212" t="b">
        <v>0</v>
      </c>
      <c r="H41" s="200" t="b">
        <v>0</v>
      </c>
    </row>
    <row r="42" spans="1:9" x14ac:dyDescent="0.2">
      <c r="A42" s="164" t="s">
        <v>398</v>
      </c>
      <c r="B42" s="164"/>
      <c r="C42" s="164"/>
      <c r="D42" s="141" t="b">
        <v>0</v>
      </c>
      <c r="E42" s="211"/>
      <c r="F42" s="212"/>
      <c r="G42" s="212"/>
      <c r="H42" s="201"/>
    </row>
    <row r="43" spans="1:9" ht="28.75" customHeight="1" x14ac:dyDescent="0.2">
      <c r="A43" s="128" t="s">
        <v>397</v>
      </c>
      <c r="B43" s="165"/>
      <c r="C43" s="166"/>
      <c r="D43" s="141" t="b">
        <v>0</v>
      </c>
      <c r="E43" s="129" t="s">
        <v>245</v>
      </c>
      <c r="F43" s="208"/>
      <c r="G43" s="209"/>
      <c r="H43" s="210"/>
    </row>
    <row r="44" spans="1:9" ht="16" thickBot="1" x14ac:dyDescent="0.25">
      <c r="D44" s="141" t="b">
        <v>0</v>
      </c>
      <c r="E44" s="211" t="s">
        <v>222</v>
      </c>
      <c r="F44" s="212" t="b">
        <v>0</v>
      </c>
      <c r="G44" s="212" t="b">
        <v>0</v>
      </c>
      <c r="H44" s="200" t="b">
        <v>0</v>
      </c>
    </row>
    <row r="45" spans="1:9" ht="15" customHeight="1" x14ac:dyDescent="0.2">
      <c r="A45" s="179" t="s">
        <v>99</v>
      </c>
      <c r="B45" s="180"/>
      <c r="C45" s="181"/>
      <c r="D45" s="141" t="b">
        <v>0</v>
      </c>
      <c r="E45" s="211"/>
      <c r="F45" s="212"/>
      <c r="G45" s="212"/>
      <c r="H45" s="201"/>
    </row>
    <row r="46" spans="1:9" ht="17" thickBot="1" x14ac:dyDescent="0.25">
      <c r="A46" s="90" t="s">
        <v>199</v>
      </c>
      <c r="B46" s="91"/>
      <c r="C46" s="92"/>
      <c r="E46" s="211" t="s">
        <v>229</v>
      </c>
      <c r="F46" s="212" t="b">
        <v>0</v>
      </c>
      <c r="G46" s="212" t="b">
        <v>0</v>
      </c>
      <c r="H46" s="200" t="b">
        <v>0</v>
      </c>
    </row>
    <row r="47" spans="1:9" ht="14.5" customHeight="1" x14ac:dyDescent="0.2">
      <c r="A47" s="182"/>
      <c r="B47" s="182"/>
      <c r="C47" s="183"/>
      <c r="E47" s="211"/>
      <c r="F47" s="212"/>
      <c r="G47" s="212"/>
      <c r="H47" s="201"/>
    </row>
    <row r="48" spans="1:9" ht="14.5" customHeight="1" x14ac:dyDescent="0.2">
      <c r="A48" s="184"/>
      <c r="B48" s="184"/>
      <c r="C48" s="185"/>
      <c r="E48" s="211" t="s">
        <v>251</v>
      </c>
      <c r="F48" s="202"/>
      <c r="G48" s="203"/>
      <c r="H48" s="204"/>
    </row>
    <row r="49" spans="1:9" ht="14.5" customHeight="1" x14ac:dyDescent="0.2">
      <c r="A49" s="184"/>
      <c r="B49" s="184"/>
      <c r="C49" s="185"/>
      <c r="E49" s="211"/>
      <c r="F49" s="205"/>
      <c r="G49" s="206"/>
      <c r="H49" s="207"/>
    </row>
    <row r="50" spans="1:9" ht="14.5" customHeight="1" x14ac:dyDescent="0.2">
      <c r="A50" s="184"/>
      <c r="B50" s="184"/>
      <c r="C50" s="185"/>
    </row>
    <row r="51" spans="1:9" ht="14.5" customHeight="1" x14ac:dyDescent="0.2">
      <c r="A51" s="184"/>
      <c r="B51" s="184"/>
      <c r="C51" s="185"/>
      <c r="E51" s="197" t="s">
        <v>35</v>
      </c>
      <c r="F51" s="197"/>
      <c r="G51" s="197"/>
    </row>
    <row r="52" spans="1:9" ht="14.5" customHeight="1" x14ac:dyDescent="0.2">
      <c r="A52" s="184"/>
      <c r="B52" s="184"/>
      <c r="C52" s="185"/>
      <c r="E52" s="44" t="s">
        <v>54</v>
      </c>
      <c r="F52" s="96"/>
      <c r="G52" s="8">
        <v>0</v>
      </c>
    </row>
    <row r="53" spans="1:9" ht="14.5" customHeight="1" x14ac:dyDescent="0.2">
      <c r="A53" s="184"/>
      <c r="B53" s="184"/>
      <c r="C53" s="185"/>
      <c r="E53" s="44" t="s">
        <v>53</v>
      </c>
      <c r="F53" s="96"/>
      <c r="G53" s="8">
        <v>0</v>
      </c>
      <c r="H53" s="51"/>
    </row>
    <row r="54" spans="1:9" ht="14.5" customHeight="1" x14ac:dyDescent="0.2">
      <c r="A54" s="184"/>
      <c r="B54" s="184"/>
      <c r="C54" s="185"/>
      <c r="E54" s="211" t="s">
        <v>134</v>
      </c>
      <c r="F54" s="211"/>
      <c r="G54" s="198" t="s">
        <v>132</v>
      </c>
    </row>
    <row r="55" spans="1:9" ht="14.5" customHeight="1" x14ac:dyDescent="0.2">
      <c r="A55" s="184"/>
      <c r="B55" s="184"/>
      <c r="C55" s="185"/>
      <c r="E55" s="211"/>
      <c r="F55" s="211"/>
      <c r="G55" s="198"/>
    </row>
    <row r="56" spans="1:9" ht="14.5" customHeight="1" x14ac:dyDescent="0.2">
      <c r="A56" s="184"/>
      <c r="B56" s="184"/>
      <c r="C56" s="185"/>
    </row>
    <row r="57" spans="1:9" ht="14.5" customHeight="1" thickBot="1" x14ac:dyDescent="0.25">
      <c r="A57" s="186"/>
      <c r="B57" s="186"/>
      <c r="C57" s="187"/>
      <c r="E57" s="197" t="s">
        <v>108</v>
      </c>
      <c r="F57" s="197"/>
      <c r="G57" s="197"/>
    </row>
    <row r="58" spans="1:9" ht="14.5" customHeight="1" thickBot="1" x14ac:dyDescent="0.25">
      <c r="E58" s="223" t="s">
        <v>223</v>
      </c>
      <c r="F58" s="223"/>
      <c r="G58" s="95"/>
    </row>
    <row r="59" spans="1:9" ht="14.5" customHeight="1" thickBot="1" x14ac:dyDescent="0.25">
      <c r="A59" s="188" t="s">
        <v>200</v>
      </c>
      <c r="B59" s="189"/>
      <c r="C59" s="190"/>
      <c r="E59" s="223" t="s">
        <v>224</v>
      </c>
      <c r="F59" s="223"/>
      <c r="G59" s="95"/>
    </row>
    <row r="60" spans="1:9" x14ac:dyDescent="0.2">
      <c r="A60" s="191" t="s">
        <v>237</v>
      </c>
      <c r="B60" s="192"/>
      <c r="C60" s="193"/>
      <c r="E60" s="223" t="s">
        <v>225</v>
      </c>
      <c r="F60" s="223"/>
      <c r="G60" s="95"/>
      <c r="I60" s="67"/>
    </row>
    <row r="61" spans="1:9" x14ac:dyDescent="0.2">
      <c r="A61" s="170"/>
      <c r="B61" s="171"/>
      <c r="C61" s="172"/>
      <c r="I61" s="67"/>
    </row>
    <row r="62" spans="1:9" ht="14.5" customHeight="1" x14ac:dyDescent="0.2">
      <c r="A62" s="170"/>
      <c r="B62" s="171"/>
      <c r="C62" s="172"/>
      <c r="E62" s="221" t="s">
        <v>95</v>
      </c>
      <c r="F62" s="222"/>
      <c r="I62" s="67"/>
    </row>
    <row r="63" spans="1:9" ht="14.5" customHeight="1" x14ac:dyDescent="0.2">
      <c r="A63" s="194" t="s">
        <v>238</v>
      </c>
      <c r="B63" s="195"/>
      <c r="C63" s="196"/>
      <c r="E63" s="120" t="s">
        <v>102</v>
      </c>
      <c r="F63" s="161" t="b">
        <v>0</v>
      </c>
      <c r="I63" s="41"/>
    </row>
    <row r="64" spans="1:9" ht="14.5" customHeight="1" x14ac:dyDescent="0.2">
      <c r="A64" s="170"/>
      <c r="B64" s="171"/>
      <c r="C64" s="172"/>
      <c r="E64" s="120" t="s">
        <v>106</v>
      </c>
      <c r="F64" s="161" t="b">
        <v>0</v>
      </c>
    </row>
    <row r="65" spans="1:7" ht="14.5" customHeight="1" thickBot="1" x14ac:dyDescent="0.25">
      <c r="A65" s="176"/>
      <c r="B65" s="177"/>
      <c r="C65" s="178"/>
    </row>
    <row r="66" spans="1:7" ht="14.5" customHeight="1" x14ac:dyDescent="0.2">
      <c r="A66" s="167" t="s">
        <v>239</v>
      </c>
      <c r="B66" s="168"/>
      <c r="C66" s="169"/>
      <c r="E66" s="219" t="s">
        <v>103</v>
      </c>
      <c r="F66" s="219"/>
      <c r="G66" s="219"/>
    </row>
    <row r="67" spans="1:7" ht="14.5" customHeight="1" x14ac:dyDescent="0.2">
      <c r="A67" s="170"/>
      <c r="B67" s="171"/>
      <c r="C67" s="172"/>
      <c r="E67" s="219"/>
      <c r="F67" s="219"/>
      <c r="G67" s="219"/>
    </row>
    <row r="68" spans="1:7" ht="14.5" customHeight="1" x14ac:dyDescent="0.2">
      <c r="A68" s="170"/>
      <c r="B68" s="171"/>
      <c r="C68" s="172"/>
    </row>
    <row r="69" spans="1:7" ht="14.5" customHeight="1" x14ac:dyDescent="0.2">
      <c r="A69" s="173" t="s">
        <v>240</v>
      </c>
      <c r="B69" s="174"/>
      <c r="C69" s="175"/>
      <c r="E69" s="220" t="s">
        <v>221</v>
      </c>
      <c r="F69" s="220"/>
    </row>
    <row r="70" spans="1:7" ht="14.5" customHeight="1" x14ac:dyDescent="0.2">
      <c r="A70" s="170"/>
      <c r="B70" s="171"/>
      <c r="C70" s="172"/>
      <c r="E70" s="220"/>
      <c r="F70" s="220"/>
    </row>
    <row r="71" spans="1:7" ht="14.5" customHeight="1" thickBot="1" x14ac:dyDescent="0.25">
      <c r="A71" s="176"/>
      <c r="B71" s="177"/>
      <c r="C71" s="178"/>
      <c r="E71" s="213"/>
      <c r="F71" s="214"/>
    </row>
    <row r="72" spans="1:7" ht="14.5" customHeight="1" x14ac:dyDescent="0.2">
      <c r="A72" s="191" t="s">
        <v>241</v>
      </c>
      <c r="B72" s="192"/>
      <c r="C72" s="193"/>
      <c r="E72" s="215"/>
      <c r="F72" s="216"/>
    </row>
    <row r="73" spans="1:7" ht="14.5" customHeight="1" x14ac:dyDescent="0.2">
      <c r="A73" s="170"/>
      <c r="B73" s="171"/>
      <c r="C73" s="172"/>
      <c r="E73" s="215"/>
      <c r="F73" s="216"/>
    </row>
    <row r="74" spans="1:7" ht="14.5" customHeight="1" x14ac:dyDescent="0.2">
      <c r="A74" s="170"/>
      <c r="B74" s="171"/>
      <c r="C74" s="172"/>
      <c r="E74" s="215"/>
      <c r="F74" s="216"/>
    </row>
    <row r="75" spans="1:7" ht="18" customHeight="1" x14ac:dyDescent="0.2">
      <c r="A75" s="194" t="s">
        <v>242</v>
      </c>
      <c r="B75" s="195"/>
      <c r="C75" s="196"/>
      <c r="E75" s="215"/>
      <c r="F75" s="216"/>
    </row>
    <row r="76" spans="1:7" ht="16.75" customHeight="1" x14ac:dyDescent="0.2">
      <c r="A76" s="170"/>
      <c r="B76" s="171"/>
      <c r="C76" s="172"/>
      <c r="E76" s="215"/>
      <c r="F76" s="216"/>
    </row>
    <row r="77" spans="1:7" ht="16" thickBot="1" x14ac:dyDescent="0.25">
      <c r="A77" s="176"/>
      <c r="B77" s="177"/>
      <c r="C77" s="178"/>
      <c r="E77" s="217"/>
      <c r="F77" s="218"/>
    </row>
    <row r="78" spans="1:7" ht="15.5" customHeight="1" x14ac:dyDescent="0.2">
      <c r="A78" s="167" t="s">
        <v>244</v>
      </c>
      <c r="B78" s="168"/>
      <c r="C78" s="169"/>
    </row>
    <row r="79" spans="1:7" x14ac:dyDescent="0.2">
      <c r="A79" s="170"/>
      <c r="B79" s="171"/>
      <c r="C79" s="172"/>
    </row>
    <row r="80" spans="1:7" x14ac:dyDescent="0.2">
      <c r="A80" s="170"/>
      <c r="B80" s="171"/>
      <c r="C80" s="172"/>
    </row>
    <row r="81" spans="1:3" x14ac:dyDescent="0.2">
      <c r="A81" s="173" t="s">
        <v>243</v>
      </c>
      <c r="B81" s="174"/>
      <c r="C81" s="175"/>
    </row>
    <row r="82" spans="1:3" x14ac:dyDescent="0.2">
      <c r="A82" s="170"/>
      <c r="B82" s="171"/>
      <c r="C82" s="172"/>
    </row>
    <row r="83" spans="1:3" ht="16" thickBot="1" x14ac:dyDescent="0.25">
      <c r="A83" s="176"/>
      <c r="B83" s="177"/>
      <c r="C83" s="178"/>
    </row>
  </sheetData>
  <sheetProtection insertHyperlinks="0" deleteColumns="0" deleteRows="0"/>
  <mergeCells count="87">
    <mergeCell ref="G44:G45"/>
    <mergeCell ref="E41:E42"/>
    <mergeCell ref="F41:F42"/>
    <mergeCell ref="G41:G42"/>
    <mergeCell ref="F10:G10"/>
    <mergeCell ref="F30:G30"/>
    <mergeCell ref="F32:G32"/>
    <mergeCell ref="F31:G31"/>
    <mergeCell ref="F33:G33"/>
    <mergeCell ref="B21:C21"/>
    <mergeCell ref="B14:C14"/>
    <mergeCell ref="B13:C13"/>
    <mergeCell ref="E13:G13"/>
    <mergeCell ref="E12:G12"/>
    <mergeCell ref="F19:G19"/>
    <mergeCell ref="E14:G14"/>
    <mergeCell ref="B10:C10"/>
    <mergeCell ref="B12:C12"/>
    <mergeCell ref="B15:C15"/>
    <mergeCell ref="A4:C5"/>
    <mergeCell ref="B7:C7"/>
    <mergeCell ref="B6:C6"/>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A34:A35"/>
    <mergeCell ref="B34:B35"/>
    <mergeCell ref="C34:C35"/>
    <mergeCell ref="B29:C29"/>
    <mergeCell ref="B30:C30"/>
    <mergeCell ref="E71:F77"/>
    <mergeCell ref="E66:G67"/>
    <mergeCell ref="E69:F70"/>
    <mergeCell ref="E62:F62"/>
    <mergeCell ref="E58:F58"/>
    <mergeCell ref="E59:F59"/>
    <mergeCell ref="E60:F60"/>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A42:C42"/>
    <mergeCell ref="B43:C43"/>
    <mergeCell ref="A78:C78"/>
    <mergeCell ref="A66:C66"/>
    <mergeCell ref="A67:C68"/>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165100</xdr:rowOff>
                  </from>
                  <to>
                    <xdr:col>5</xdr:col>
                    <xdr:colOff>673100</xdr:colOff>
                    <xdr:row>22</xdr:row>
                    <xdr:rowOff>12700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12700</xdr:rowOff>
                  </from>
                  <to>
                    <xdr:col>5</xdr:col>
                    <xdr:colOff>660400</xdr:colOff>
                    <xdr:row>24</xdr:row>
                    <xdr:rowOff>215900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12700</xdr:rowOff>
                  </from>
                  <to>
                    <xdr:col>6</xdr:col>
                    <xdr:colOff>241300</xdr:colOff>
                    <xdr:row>28</xdr:row>
                    <xdr:rowOff>203200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431800</xdr:colOff>
                    <xdr:row>15</xdr:row>
                    <xdr:rowOff>177800</xdr:rowOff>
                  </from>
                  <to>
                    <xdr:col>5</xdr:col>
                    <xdr:colOff>673100</xdr:colOff>
                    <xdr:row>17</xdr:row>
                    <xdr:rowOff>12700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431800</xdr:colOff>
                    <xdr:row>16</xdr:row>
                    <xdr:rowOff>165100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508000</xdr:colOff>
                    <xdr:row>62</xdr:row>
                    <xdr:rowOff>152400</xdr:rowOff>
                  </from>
                  <to>
                    <xdr:col>5</xdr:col>
                    <xdr:colOff>749300</xdr:colOff>
                    <xdr:row>64</xdr:row>
                    <xdr:rowOff>25400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25400</xdr:colOff>
                    <xdr:row>8</xdr:row>
                    <xdr:rowOff>139700</xdr:rowOff>
                  </from>
                  <to>
                    <xdr:col>2</xdr:col>
                    <xdr:colOff>368300</xdr:colOff>
                    <xdr:row>10</xdr:row>
                    <xdr:rowOff>25400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584200</xdr:colOff>
                    <xdr:row>32</xdr:row>
                    <xdr:rowOff>12700</xdr:rowOff>
                  </from>
                  <to>
                    <xdr:col>2</xdr:col>
                    <xdr:colOff>787400</xdr:colOff>
                    <xdr:row>32</xdr:row>
                    <xdr:rowOff>215900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508000</xdr:colOff>
                    <xdr:row>36</xdr:row>
                    <xdr:rowOff>203200</xdr:rowOff>
                  </from>
                  <to>
                    <xdr:col>1</xdr:col>
                    <xdr:colOff>723900</xdr:colOff>
                    <xdr:row>38</xdr:row>
                    <xdr:rowOff>12700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165100</xdr:rowOff>
                  </from>
                  <to>
                    <xdr:col>1</xdr:col>
                    <xdr:colOff>889000</xdr:colOff>
                    <xdr:row>42</xdr:row>
                    <xdr:rowOff>215900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101600</xdr:colOff>
                    <xdr:row>42</xdr:row>
                    <xdr:rowOff>203200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279400</xdr:colOff>
                    <xdr:row>41</xdr:row>
                    <xdr:rowOff>165100</xdr:rowOff>
                  </from>
                  <to>
                    <xdr:col>2</xdr:col>
                    <xdr:colOff>787400</xdr:colOff>
                    <xdr:row>42</xdr:row>
                    <xdr:rowOff>215900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736600</xdr:colOff>
                    <xdr:row>41</xdr:row>
                    <xdr:rowOff>165100</xdr:rowOff>
                  </from>
                  <to>
                    <xdr:col>2</xdr:col>
                    <xdr:colOff>1244600</xdr:colOff>
                    <xdr:row>42</xdr:row>
                    <xdr:rowOff>215900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236</v>
      </c>
    </row>
    <row r="3" spans="1:7" ht="16.25" customHeight="1" x14ac:dyDescent="0.2">
      <c r="A3" s="246" t="s">
        <v>193</v>
      </c>
      <c r="B3" s="247"/>
      <c r="C3" s="247"/>
      <c r="D3" s="247"/>
      <c r="E3" s="248"/>
      <c r="F3" s="97" t="s">
        <v>131</v>
      </c>
      <c r="G3" s="97" t="s">
        <v>132</v>
      </c>
    </row>
    <row r="4" spans="1:7" ht="16.25" customHeight="1" x14ac:dyDescent="0.2">
      <c r="A4" s="249" t="s">
        <v>231</v>
      </c>
      <c r="B4" s="249"/>
      <c r="C4" s="249"/>
      <c r="D4" s="249"/>
      <c r="E4" s="249"/>
      <c r="F4" s="45"/>
      <c r="G4" s="45"/>
    </row>
    <row r="5" spans="1:7" ht="16.75" customHeight="1" x14ac:dyDescent="0.2">
      <c r="A5" s="165" t="s">
        <v>230</v>
      </c>
      <c r="B5" s="251"/>
      <c r="C5" s="251"/>
      <c r="D5" s="251"/>
      <c r="E5" s="166"/>
      <c r="F5" s="45"/>
      <c r="G5" s="45"/>
    </row>
    <row r="6" spans="1:7" x14ac:dyDescent="0.2">
      <c r="A6" s="165" t="s">
        <v>232</v>
      </c>
      <c r="B6" s="251"/>
      <c r="C6" s="251"/>
      <c r="D6" s="251"/>
      <c r="E6" s="166"/>
      <c r="F6" s="45"/>
      <c r="G6" s="45"/>
    </row>
    <row r="7" spans="1:7" x14ac:dyDescent="0.2">
      <c r="A7" s="165" t="s">
        <v>233</v>
      </c>
      <c r="B7" s="251"/>
      <c r="C7" s="251"/>
      <c r="D7" s="251"/>
      <c r="E7" s="166"/>
      <c r="F7" s="45"/>
      <c r="G7" s="45"/>
    </row>
    <row r="8" spans="1:7" x14ac:dyDescent="0.2">
      <c r="A8" s="171" t="s">
        <v>209</v>
      </c>
      <c r="B8" s="171"/>
      <c r="C8" s="171"/>
      <c r="D8" s="171"/>
      <c r="E8" s="171"/>
      <c r="F8" s="45"/>
      <c r="G8" s="45"/>
    </row>
    <row r="10" spans="1:7" ht="32" x14ac:dyDescent="0.2">
      <c r="A10" s="2" t="s">
        <v>196</v>
      </c>
      <c r="B10" s="252" t="s">
        <v>6</v>
      </c>
      <c r="C10" s="252"/>
      <c r="D10" s="252"/>
      <c r="E10" s="124" t="s">
        <v>7</v>
      </c>
      <c r="F10" s="124" t="s">
        <v>8</v>
      </c>
      <c r="G10" s="124" t="s">
        <v>68</v>
      </c>
    </row>
    <row r="11" spans="1:7" ht="28.75" customHeight="1" x14ac:dyDescent="0.2">
      <c r="A11" s="125" t="s">
        <v>194</v>
      </c>
      <c r="B11" s="250"/>
      <c r="C11" s="250"/>
      <c r="D11" s="250"/>
      <c r="E11" s="126"/>
      <c r="F11" s="120"/>
      <c r="G11" s="127"/>
    </row>
    <row r="12" spans="1:7" ht="28.75" customHeight="1" x14ac:dyDescent="0.2">
      <c r="A12" s="124" t="s">
        <v>195</v>
      </c>
      <c r="B12" s="250"/>
      <c r="C12" s="250"/>
      <c r="D12" s="250"/>
      <c r="E12" s="126"/>
      <c r="F12" s="120"/>
      <c r="G12" s="127"/>
    </row>
    <row r="13" spans="1:7" ht="28.75" customHeight="1" x14ac:dyDescent="0.2">
      <c r="A13" s="124" t="s">
        <v>195</v>
      </c>
      <c r="B13" s="250"/>
      <c r="C13" s="250"/>
      <c r="D13" s="250"/>
      <c r="E13" s="126"/>
      <c r="F13" s="120"/>
      <c r="G13" s="127"/>
    </row>
    <row r="14" spans="1:7" ht="28.75" customHeight="1" x14ac:dyDescent="0.2">
      <c r="A14" s="124" t="s">
        <v>195</v>
      </c>
      <c r="B14" s="250"/>
      <c r="C14" s="250"/>
      <c r="D14" s="250"/>
      <c r="E14" s="126"/>
      <c r="F14" s="120"/>
      <c r="G14" s="127"/>
    </row>
    <row r="15" spans="1:7" ht="28.75" customHeight="1" x14ac:dyDescent="0.2">
      <c r="A15" s="124" t="s">
        <v>195</v>
      </c>
      <c r="B15" s="250"/>
      <c r="C15" s="250"/>
      <c r="D15" s="250"/>
      <c r="E15" s="126"/>
      <c r="F15" s="120"/>
      <c r="G15" s="127"/>
    </row>
    <row r="16" spans="1:7" ht="28.75" customHeight="1" x14ac:dyDescent="0.2">
      <c r="A16" s="124" t="s">
        <v>195</v>
      </c>
      <c r="B16" s="250"/>
      <c r="C16" s="250"/>
      <c r="D16" s="250"/>
      <c r="E16" s="126"/>
      <c r="F16" s="120"/>
      <c r="G16" s="127"/>
    </row>
    <row r="17" spans="1:7" ht="28.75" customHeight="1" x14ac:dyDescent="0.2">
      <c r="A17" s="124" t="s">
        <v>195</v>
      </c>
      <c r="B17" s="250"/>
      <c r="C17" s="250"/>
      <c r="D17" s="250"/>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topLeftCell="A23"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70">
        <f>OPAC!B12</f>
        <v>0</v>
      </c>
      <c r="C5" s="271"/>
      <c r="D5" s="271"/>
      <c r="E5" s="272"/>
    </row>
    <row r="6" spans="1:5" ht="17" thickBot="1" x14ac:dyDescent="0.25">
      <c r="A6" s="64" t="s">
        <v>86</v>
      </c>
      <c r="B6" s="270" t="str">
        <f>IF('OPAC multisite'!F11="","",'OPAC multisite'!F11)</f>
        <v/>
      </c>
      <c r="C6" s="271"/>
      <c r="D6" s="271"/>
      <c r="E6" s="272"/>
    </row>
    <row r="7" spans="1:5" ht="17" thickBot="1" x14ac:dyDescent="0.25">
      <c r="A7" s="64" t="s">
        <v>87</v>
      </c>
      <c r="B7" s="273" t="s">
        <v>61</v>
      </c>
      <c r="C7" s="274"/>
      <c r="D7" s="274"/>
      <c r="E7" s="275"/>
    </row>
    <row r="8" spans="1:5" ht="17" thickBot="1" x14ac:dyDescent="0.25">
      <c r="A8" s="65" t="s">
        <v>88</v>
      </c>
      <c r="B8" s="270">
        <f>OPAC!F8</f>
        <v>0</v>
      </c>
      <c r="C8" s="271"/>
      <c r="D8" s="271"/>
      <c r="E8" s="272"/>
    </row>
    <row r="9" spans="1:5" ht="29.5" customHeight="1" thickBot="1" x14ac:dyDescent="0.25">
      <c r="A9" s="71" t="s">
        <v>121</v>
      </c>
      <c r="B9" s="276" t="str">
        <f>OPAC!E14</f>
        <v>Audit sur site</v>
      </c>
      <c r="C9" s="277"/>
      <c r="D9" s="277"/>
      <c r="E9" s="278"/>
    </row>
    <row r="10" spans="1:5" ht="17" thickBot="1" x14ac:dyDescent="0.25">
      <c r="A10" s="71" t="s">
        <v>62</v>
      </c>
      <c r="B10" s="276" t="str">
        <f>_xlfn.CONCAT(OPAC!I28:I34)</f>
        <v/>
      </c>
      <c r="C10" s="277"/>
      <c r="D10" s="277"/>
      <c r="E10" s="278"/>
    </row>
    <row r="11" spans="1:5" ht="17" thickBot="1" x14ac:dyDescent="0.25">
      <c r="A11" s="76" t="s">
        <v>109</v>
      </c>
      <c r="B11" s="74">
        <f>OPAC!B6</f>
        <v>0</v>
      </c>
      <c r="C11" s="75" t="s">
        <v>110</v>
      </c>
      <c r="D11" s="264">
        <f>OPAC!B7</f>
        <v>0</v>
      </c>
      <c r="E11" s="265"/>
    </row>
    <row r="12" spans="1:5" x14ac:dyDescent="0.2">
      <c r="A12" s="279" t="s">
        <v>421</v>
      </c>
      <c r="B12" s="279"/>
      <c r="C12" s="171" t="str">
        <f>CONCATENATE(OPAC!I22,OPAC!I23,OPAC!I24,OPAC!I25)</f>
        <v/>
      </c>
      <c r="D12" s="171"/>
      <c r="E12" s="171"/>
    </row>
    <row r="14" spans="1:5" ht="30" x14ac:dyDescent="0.2">
      <c r="A14" s="121" t="s">
        <v>89</v>
      </c>
      <c r="B14" s="122" t="s">
        <v>90</v>
      </c>
      <c r="C14" s="122" t="s">
        <v>98</v>
      </c>
      <c r="D14" s="122" t="s">
        <v>91</v>
      </c>
      <c r="E14" s="122" t="s">
        <v>92</v>
      </c>
    </row>
    <row r="15" spans="1:5" ht="57" customHeight="1" x14ac:dyDescent="0.2">
      <c r="A15" s="266" t="s">
        <v>283</v>
      </c>
      <c r="B15" s="266"/>
      <c r="C15" s="266"/>
      <c r="D15" s="266"/>
      <c r="E15" s="266"/>
    </row>
    <row r="16" spans="1:5" ht="26.5" customHeight="1" x14ac:dyDescent="0.2">
      <c r="A16" s="78">
        <f>OPAC!B6</f>
        <v>0</v>
      </c>
      <c r="B16" s="280" t="s">
        <v>461</v>
      </c>
      <c r="C16" s="280"/>
      <c r="D16" s="280"/>
      <c r="E16" s="280"/>
    </row>
    <row r="17" spans="1:5" ht="113.5" customHeight="1" x14ac:dyDescent="0.2">
      <c r="A17" s="2" t="s">
        <v>446</v>
      </c>
      <c r="B17" s="80" t="s">
        <v>460</v>
      </c>
      <c r="C17" s="69"/>
      <c r="D17" s="250">
        <f>OPAC!F8</f>
        <v>0</v>
      </c>
      <c r="E17" s="267" t="str">
        <f>_xlfn.CONCAT(OPAC!B21,", ",OPAC!B22)</f>
        <v xml:space="preserve">, </v>
      </c>
    </row>
    <row r="18" spans="1:5" ht="47.5" customHeight="1" x14ac:dyDescent="0.2">
      <c r="A18" s="2"/>
      <c r="B18" s="79" t="s">
        <v>228</v>
      </c>
      <c r="C18" s="14"/>
      <c r="D18" s="250"/>
      <c r="E18" s="268"/>
    </row>
    <row r="19" spans="1:5" ht="52.25" customHeight="1" x14ac:dyDescent="0.2">
      <c r="A19" s="2" t="s">
        <v>447</v>
      </c>
      <c r="B19" s="79" t="s">
        <v>97</v>
      </c>
      <c r="C19" s="14" t="s">
        <v>130</v>
      </c>
      <c r="D19" s="250"/>
      <c r="E19" s="268"/>
    </row>
    <row r="20" spans="1:5" ht="66.5" customHeight="1" x14ac:dyDescent="0.2">
      <c r="A20" s="46" t="s">
        <v>448</v>
      </c>
      <c r="B20" s="79" t="s">
        <v>111</v>
      </c>
      <c r="C20" s="87" t="s">
        <v>496</v>
      </c>
      <c r="D20" s="250"/>
      <c r="E20" s="268"/>
    </row>
    <row r="21" spans="1:5" ht="64.25" customHeight="1" x14ac:dyDescent="0.2">
      <c r="A21" s="46" t="s">
        <v>449</v>
      </c>
      <c r="B21" s="79" t="s">
        <v>139</v>
      </c>
      <c r="C21" s="87" t="s">
        <v>497</v>
      </c>
      <c r="D21" s="250"/>
      <c r="E21" s="268"/>
    </row>
    <row r="22" spans="1:5" ht="26.5" customHeight="1" x14ac:dyDescent="0.2">
      <c r="A22" s="46" t="s">
        <v>450</v>
      </c>
      <c r="B22" s="66" t="s">
        <v>93</v>
      </c>
      <c r="C22" s="82"/>
      <c r="D22" s="250"/>
      <c r="E22" s="268"/>
    </row>
    <row r="23" spans="1:5" ht="51" customHeight="1" x14ac:dyDescent="0.2">
      <c r="A23" s="46" t="s">
        <v>451</v>
      </c>
      <c r="B23" s="79" t="s">
        <v>126</v>
      </c>
      <c r="C23" s="87" t="s">
        <v>498</v>
      </c>
      <c r="D23" s="250"/>
      <c r="E23" s="268"/>
    </row>
    <row r="24" spans="1:5" ht="48.5" customHeight="1" x14ac:dyDescent="0.2">
      <c r="A24" s="46" t="s">
        <v>452</v>
      </c>
      <c r="B24" s="68" t="s">
        <v>112</v>
      </c>
      <c r="C24" s="87" t="s">
        <v>499</v>
      </c>
      <c r="D24" s="250"/>
      <c r="E24" s="268"/>
    </row>
    <row r="25" spans="1:5" ht="42" customHeight="1" x14ac:dyDescent="0.2">
      <c r="A25" s="46" t="s">
        <v>453</v>
      </c>
      <c r="B25" s="81" t="s">
        <v>113</v>
      </c>
      <c r="C25" s="87" t="s">
        <v>500</v>
      </c>
      <c r="D25" s="250"/>
      <c r="E25" s="268"/>
    </row>
    <row r="26" spans="1:5" ht="49.25" customHeight="1" x14ac:dyDescent="0.2">
      <c r="A26" s="46" t="s">
        <v>456</v>
      </c>
      <c r="B26" s="81" t="s">
        <v>114</v>
      </c>
      <c r="C26" s="87" t="s">
        <v>501</v>
      </c>
      <c r="D26" s="250"/>
      <c r="E26" s="268"/>
    </row>
    <row r="27" spans="1:5" ht="39" x14ac:dyDescent="0.2">
      <c r="A27" s="46" t="s">
        <v>457</v>
      </c>
      <c r="B27" s="81" t="s">
        <v>140</v>
      </c>
      <c r="C27" s="14"/>
      <c r="D27" s="250"/>
      <c r="E27" s="268"/>
    </row>
    <row r="28" spans="1:5" ht="26" x14ac:dyDescent="0.2">
      <c r="A28" s="46"/>
      <c r="B28" s="81" t="s">
        <v>202</v>
      </c>
      <c r="C28" s="14"/>
      <c r="D28" s="250"/>
      <c r="E28" s="269"/>
    </row>
    <row r="29" spans="1:5" ht="47.5" customHeight="1" x14ac:dyDescent="0.2">
      <c r="A29" s="46" t="s">
        <v>455</v>
      </c>
      <c r="B29" s="94" t="s">
        <v>127</v>
      </c>
      <c r="C29" s="82"/>
      <c r="D29" s="250"/>
      <c r="E29" s="46" t="s">
        <v>115</v>
      </c>
    </row>
    <row r="30" spans="1:5" ht="114" customHeight="1" x14ac:dyDescent="0.2">
      <c r="A30" s="46" t="s">
        <v>454</v>
      </c>
      <c r="B30" s="94" t="s">
        <v>137</v>
      </c>
      <c r="C30" s="70"/>
      <c r="D30" s="250"/>
      <c r="E30" s="83" t="str">
        <f>E17</f>
        <v xml:space="preserve">, </v>
      </c>
    </row>
    <row r="32" spans="1:5" s="152" customFormat="1" x14ac:dyDescent="0.2">
      <c r="A32" s="150"/>
      <c r="B32" s="253" t="s">
        <v>462</v>
      </c>
      <c r="C32" s="253"/>
      <c r="D32" s="253"/>
      <c r="E32" s="253"/>
    </row>
    <row r="33" spans="1:6" s="152" customFormat="1" ht="28.75" customHeight="1" x14ac:dyDescent="0.2">
      <c r="A33" s="150"/>
      <c r="B33" s="151" t="s">
        <v>463</v>
      </c>
      <c r="C33" s="253" t="s">
        <v>464</v>
      </c>
      <c r="D33" s="253"/>
      <c r="E33" s="253"/>
    </row>
    <row r="34" spans="1:6" s="152" customFormat="1" ht="48" x14ac:dyDescent="0.2">
      <c r="A34" s="151" t="s">
        <v>63</v>
      </c>
      <c r="B34" s="153" t="s">
        <v>465</v>
      </c>
      <c r="C34" s="281" t="s">
        <v>466</v>
      </c>
      <c r="D34" s="281"/>
      <c r="E34" s="281"/>
    </row>
    <row r="35" spans="1:6" s="152" customFormat="1" ht="168.5" customHeight="1" x14ac:dyDescent="0.2">
      <c r="A35" s="151" t="s">
        <v>64</v>
      </c>
      <c r="B35" s="153" t="s">
        <v>467</v>
      </c>
      <c r="C35" s="281" t="s">
        <v>468</v>
      </c>
      <c r="D35" s="281"/>
      <c r="E35" s="281"/>
    </row>
    <row r="36" spans="1:6" s="152" customFormat="1" ht="32" x14ac:dyDescent="0.2">
      <c r="A36" s="151" t="s">
        <v>65</v>
      </c>
      <c r="B36" s="153" t="s">
        <v>469</v>
      </c>
      <c r="C36" s="281" t="s">
        <v>466</v>
      </c>
      <c r="D36" s="281"/>
      <c r="E36" s="281"/>
    </row>
    <row r="37" spans="1:6" s="152" customFormat="1" ht="57.5" customHeight="1" x14ac:dyDescent="0.2">
      <c r="A37" s="151" t="s">
        <v>492</v>
      </c>
      <c r="B37" s="281" t="s">
        <v>470</v>
      </c>
      <c r="C37" s="281"/>
      <c r="D37" s="281"/>
      <c r="E37" s="281"/>
    </row>
    <row r="38" spans="1:6" s="152" customFormat="1" x14ac:dyDescent="0.2"/>
    <row r="39" spans="1:6" s="152" customFormat="1" ht="32" x14ac:dyDescent="0.2">
      <c r="A39" s="253" t="s">
        <v>471</v>
      </c>
      <c r="B39" s="253"/>
      <c r="C39" s="151" t="s">
        <v>472</v>
      </c>
    </row>
    <row r="40" spans="1:6" s="152" customFormat="1" ht="16" x14ac:dyDescent="0.2">
      <c r="A40" s="254" t="s">
        <v>473</v>
      </c>
      <c r="B40" s="254"/>
      <c r="C40" s="154" t="s">
        <v>474</v>
      </c>
    </row>
    <row r="41" spans="1:6" s="152" customFormat="1" x14ac:dyDescent="0.2">
      <c r="A41" s="254" t="s">
        <v>475</v>
      </c>
      <c r="B41" s="254"/>
      <c r="C41" s="155">
        <v>13</v>
      </c>
    </row>
    <row r="42" spans="1:6" s="152" customFormat="1" x14ac:dyDescent="0.2">
      <c r="A42" s="254" t="s">
        <v>476</v>
      </c>
      <c r="B42" s="254"/>
      <c r="C42" s="155">
        <v>27</v>
      </c>
    </row>
    <row r="43" spans="1:6" s="152" customFormat="1" x14ac:dyDescent="0.2">
      <c r="A43" s="254" t="s">
        <v>477</v>
      </c>
      <c r="B43" s="254"/>
      <c r="C43" s="155">
        <v>28</v>
      </c>
    </row>
    <row r="44" spans="1:6" s="152" customFormat="1" ht="16" thickBot="1" x14ac:dyDescent="0.25"/>
    <row r="45" spans="1:6" s="152" customFormat="1" x14ac:dyDescent="0.2">
      <c r="A45" s="258" t="s">
        <v>478</v>
      </c>
      <c r="B45" s="259"/>
      <c r="C45" s="259"/>
      <c r="D45" s="259"/>
      <c r="E45" s="260"/>
      <c r="F45" s="255" t="s">
        <v>479</v>
      </c>
    </row>
    <row r="46" spans="1:6" s="152" customFormat="1" ht="16" thickBot="1" x14ac:dyDescent="0.25">
      <c r="A46" s="261" t="s">
        <v>480</v>
      </c>
      <c r="B46" s="262"/>
      <c r="C46" s="262"/>
      <c r="D46" s="262"/>
      <c r="E46" s="263"/>
      <c r="F46" s="256"/>
    </row>
    <row r="47" spans="1:6" s="152" customFormat="1" ht="64" x14ac:dyDescent="0.2">
      <c r="A47" s="146" t="s">
        <v>488</v>
      </c>
      <c r="B47" s="255" t="s">
        <v>489</v>
      </c>
      <c r="C47" s="255" t="s">
        <v>490</v>
      </c>
      <c r="D47" s="255" t="s">
        <v>481</v>
      </c>
      <c r="E47" s="255" t="s">
        <v>491</v>
      </c>
      <c r="F47" s="256"/>
    </row>
    <row r="48" spans="1:6" s="152" customFormat="1" ht="141.5" customHeight="1" thickBot="1" x14ac:dyDescent="0.25">
      <c r="A48" s="148" t="s">
        <v>482</v>
      </c>
      <c r="B48" s="257"/>
      <c r="C48" s="257"/>
      <c r="D48" s="257"/>
      <c r="E48" s="257"/>
      <c r="F48" s="257"/>
    </row>
    <row r="49" spans="1:6" s="152" customFormat="1" ht="16" x14ac:dyDescent="0.2">
      <c r="A49" s="255" t="s">
        <v>483</v>
      </c>
      <c r="B49" s="255">
        <v>5</v>
      </c>
      <c r="C49" s="255">
        <v>26</v>
      </c>
      <c r="D49" s="255">
        <v>30</v>
      </c>
      <c r="E49" s="255" t="s">
        <v>484</v>
      </c>
      <c r="F49" s="146" t="s">
        <v>485</v>
      </c>
    </row>
    <row r="50" spans="1:6" s="152" customFormat="1" ht="16" x14ac:dyDescent="0.2">
      <c r="A50" s="256"/>
      <c r="B50" s="256"/>
      <c r="C50" s="256"/>
      <c r="D50" s="256"/>
      <c r="E50" s="256"/>
      <c r="F50" s="147" t="s">
        <v>486</v>
      </c>
    </row>
    <row r="51" spans="1:6" s="152" customFormat="1" ht="17" thickBot="1" x14ac:dyDescent="0.25">
      <c r="A51" s="257"/>
      <c r="B51" s="257"/>
      <c r="C51" s="257"/>
      <c r="D51" s="257"/>
      <c r="E51" s="257"/>
      <c r="F51" s="149" t="s">
        <v>487</v>
      </c>
    </row>
  </sheetData>
  <mergeCells count="36">
    <mergeCell ref="B37:E37"/>
    <mergeCell ref="C35:E35"/>
    <mergeCell ref="C34:E34"/>
    <mergeCell ref="C33:E33"/>
    <mergeCell ref="B32:E32"/>
    <mergeCell ref="C36:E36"/>
    <mergeCell ref="D11:E11"/>
    <mergeCell ref="A15:E15"/>
    <mergeCell ref="E17:E28"/>
    <mergeCell ref="B5:E5"/>
    <mergeCell ref="B6:E6"/>
    <mergeCell ref="B7:E7"/>
    <mergeCell ref="B8:E8"/>
    <mergeCell ref="B9:E9"/>
    <mergeCell ref="A12:B12"/>
    <mergeCell ref="C12:E12"/>
    <mergeCell ref="B10:E10"/>
    <mergeCell ref="B16:E16"/>
    <mergeCell ref="D17:D30"/>
    <mergeCell ref="A45:E45"/>
    <mergeCell ref="F45:F48"/>
    <mergeCell ref="A46:E46"/>
    <mergeCell ref="B47:B48"/>
    <mergeCell ref="C47:C48"/>
    <mergeCell ref="D47:D48"/>
    <mergeCell ref="E47:E48"/>
    <mergeCell ref="A49:A51"/>
    <mergeCell ref="B49:B51"/>
    <mergeCell ref="C49:C51"/>
    <mergeCell ref="D49:D51"/>
    <mergeCell ref="E49:E51"/>
    <mergeCell ref="A39:B39"/>
    <mergeCell ref="A40:B40"/>
    <mergeCell ref="A41:B41"/>
    <mergeCell ref="A42:B42"/>
    <mergeCell ref="A43:B43"/>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J5" sqref="J5:J10"/>
    </sheetView>
  </sheetViews>
  <sheetFormatPr baseColWidth="10" defaultColWidth="11.5" defaultRowHeight="15" x14ac:dyDescent="0.2"/>
  <cols>
    <col min="1" max="1" width="9.1640625" style="1" customWidth="1"/>
    <col min="2" max="2" width="3" style="1" customWidth="1"/>
    <col min="3" max="3" width="3.1640625" style="1" customWidth="1"/>
    <col min="4" max="5" width="4.1640625" style="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customWidth="1"/>
    <col min="15" max="15" width="4.5" style="1" customWidth="1"/>
    <col min="16" max="16" width="50.83203125" style="1" customWidth="1"/>
    <col min="17" max="17" width="4.5" style="1" customWidth="1"/>
    <col min="18" max="18" width="50.83203125" style="1" customWidth="1"/>
    <col min="19" max="19" width="4.5" style="1" customWidth="1"/>
    <col min="20" max="20" width="29.83203125" style="1" hidden="1" customWidth="1"/>
    <col min="21" max="21" width="11.5" style="1"/>
    <col min="22" max="22" width="11.5" style="131" customWidth="1"/>
    <col min="23" max="16384" width="11.5" style="1"/>
  </cols>
  <sheetData>
    <row r="1" spans="1:25" ht="64.75" customHeight="1" thickBot="1" x14ac:dyDescent="0.25">
      <c r="P1"/>
      <c r="Q1"/>
    </row>
    <row r="2" spans="1:25" ht="16" thickBot="1" x14ac:dyDescent="0.25">
      <c r="A2" s="135" t="s">
        <v>24</v>
      </c>
      <c r="B2" s="316" t="str">
        <f>IF('OPAC multisite'!E10="",OPAC!B12&amp; ", "&amp; OPAC!B13 &amp; ", " &amp; OPAC!B14 &amp; ", " &amp; OPAC!B15,OPAC!B12&amp; ", "&amp; OPAC!B13 &amp; ", " &amp; OPAC!B14 &amp; ", " &amp; OPAC!B15 &amp; ", " &amp; 'OPAC multisite'!F11)</f>
        <v xml:space="preserve">, , , , </v>
      </c>
      <c r="C2" s="317"/>
      <c r="D2" s="317"/>
      <c r="E2" s="317"/>
      <c r="F2" s="317"/>
      <c r="G2" s="317"/>
      <c r="H2" s="317"/>
      <c r="I2" s="317"/>
      <c r="J2" s="317"/>
      <c r="K2" s="317"/>
      <c r="L2" s="317"/>
      <c r="M2" s="317"/>
      <c r="N2" s="317"/>
      <c r="O2" s="317"/>
      <c r="P2" s="317"/>
      <c r="Q2" s="317"/>
      <c r="R2" s="317"/>
      <c r="S2" s="318"/>
    </row>
    <row r="3" spans="1:25" ht="22" thickBot="1" x14ac:dyDescent="0.25">
      <c r="A3" s="112" t="s">
        <v>25</v>
      </c>
      <c r="B3" s="296" t="s">
        <v>495</v>
      </c>
      <c r="C3" s="297"/>
      <c r="D3" s="297"/>
      <c r="E3" s="297"/>
      <c r="F3" s="297"/>
      <c r="G3" s="297"/>
      <c r="H3" s="297"/>
      <c r="I3" s="297"/>
      <c r="J3" s="297"/>
      <c r="K3" s="297"/>
      <c r="L3" s="137"/>
      <c r="M3" s="137"/>
      <c r="N3" s="137"/>
      <c r="O3" s="137"/>
      <c r="P3" s="137"/>
      <c r="Q3" s="137"/>
      <c r="R3" s="137"/>
      <c r="S3" s="137"/>
    </row>
    <row r="4" spans="1:25" ht="54" customHeight="1" x14ac:dyDescent="0.2">
      <c r="A4" s="113"/>
      <c r="B4" s="114" t="s">
        <v>385</v>
      </c>
      <c r="C4" s="115" t="s">
        <v>0</v>
      </c>
      <c r="D4" s="116" t="s">
        <v>1</v>
      </c>
      <c r="E4" s="117" t="s">
        <v>423</v>
      </c>
      <c r="F4" s="118" t="s">
        <v>2</v>
      </c>
      <c r="G4" s="119" t="s">
        <v>23</v>
      </c>
      <c r="H4" s="119" t="s">
        <v>422</v>
      </c>
      <c r="I4" s="119" t="s">
        <v>204</v>
      </c>
      <c r="J4" s="119" t="s">
        <v>105</v>
      </c>
      <c r="K4" s="119" t="s">
        <v>203</v>
      </c>
      <c r="L4" s="298" t="s">
        <v>424</v>
      </c>
      <c r="M4" s="299"/>
      <c r="N4" s="300" t="s">
        <v>205</v>
      </c>
      <c r="O4" s="301"/>
      <c r="P4" s="321" t="s">
        <v>206</v>
      </c>
      <c r="Q4" s="322"/>
      <c r="R4" s="319" t="s">
        <v>425</v>
      </c>
      <c r="S4" s="320"/>
      <c r="T4" s="123" t="s">
        <v>226</v>
      </c>
      <c r="W4" s="33"/>
      <c r="X4" s="33"/>
      <c r="Y4" s="33"/>
    </row>
    <row r="5" spans="1:25" ht="87" customHeight="1" x14ac:dyDescent="0.2">
      <c r="A5" s="291"/>
      <c r="B5" s="250" t="s">
        <v>3</v>
      </c>
      <c r="C5" s="250" t="s">
        <v>3</v>
      </c>
      <c r="D5" s="250" t="s">
        <v>3</v>
      </c>
      <c r="E5" s="292" t="s">
        <v>3</v>
      </c>
      <c r="F5" s="304" t="s">
        <v>3</v>
      </c>
      <c r="G5" s="302" t="s">
        <v>101</v>
      </c>
      <c r="H5" s="302" t="s">
        <v>141</v>
      </c>
      <c r="I5" s="295" t="s">
        <v>254</v>
      </c>
      <c r="J5" s="250"/>
      <c r="K5" s="2" t="s">
        <v>210</v>
      </c>
      <c r="L5" s="211"/>
      <c r="M5" s="211"/>
      <c r="N5" s="211"/>
      <c r="O5" s="211"/>
      <c r="P5" s="211"/>
      <c r="Q5" s="211"/>
      <c r="R5" s="211"/>
      <c r="S5" s="211"/>
      <c r="T5" s="250" t="s">
        <v>399</v>
      </c>
    </row>
    <row r="6" spans="1:25" ht="32" x14ac:dyDescent="0.2">
      <c r="A6" s="291"/>
      <c r="B6" s="250"/>
      <c r="C6" s="250"/>
      <c r="D6" s="250"/>
      <c r="E6" s="292"/>
      <c r="F6" s="304"/>
      <c r="G6" s="302"/>
      <c r="H6" s="302"/>
      <c r="I6" s="295"/>
      <c r="J6" s="250"/>
      <c r="K6" s="2" t="s">
        <v>211</v>
      </c>
      <c r="L6" s="211"/>
      <c r="M6" s="211"/>
      <c r="N6" s="211"/>
      <c r="O6" s="211"/>
      <c r="P6" s="211"/>
      <c r="Q6" s="211"/>
      <c r="R6" s="211"/>
      <c r="S6" s="211"/>
      <c r="T6" s="250"/>
    </row>
    <row r="7" spans="1:25" ht="32" x14ac:dyDescent="0.2">
      <c r="A7" s="291"/>
      <c r="B7" s="250"/>
      <c r="C7" s="250"/>
      <c r="D7" s="250"/>
      <c r="E7" s="292"/>
      <c r="F7" s="130"/>
      <c r="G7" s="302"/>
      <c r="H7" s="302"/>
      <c r="I7" s="295"/>
      <c r="J7" s="250"/>
      <c r="K7" s="250" t="s">
        <v>265</v>
      </c>
      <c r="L7" s="128" t="s">
        <v>284</v>
      </c>
      <c r="M7" s="128"/>
      <c r="N7" s="128" t="s">
        <v>284</v>
      </c>
      <c r="O7" s="128"/>
      <c r="P7" s="128" t="s">
        <v>286</v>
      </c>
      <c r="Q7" s="128"/>
      <c r="R7" s="128" t="s">
        <v>284</v>
      </c>
      <c r="S7" s="128"/>
      <c r="T7" s="250"/>
    </row>
    <row r="8" spans="1:25" ht="16" x14ac:dyDescent="0.2">
      <c r="A8" s="291"/>
      <c r="B8" s="250"/>
      <c r="C8" s="250"/>
      <c r="D8" s="250"/>
      <c r="E8" s="292"/>
      <c r="F8" s="130"/>
      <c r="G8" s="302"/>
      <c r="H8" s="302"/>
      <c r="I8" s="295"/>
      <c r="J8" s="250"/>
      <c r="K8" s="250"/>
      <c r="L8" s="128" t="s">
        <v>285</v>
      </c>
      <c r="M8" s="128"/>
      <c r="N8" s="128" t="s">
        <v>420</v>
      </c>
      <c r="O8" s="128"/>
      <c r="P8" s="128" t="s">
        <v>285</v>
      </c>
      <c r="Q8" s="128"/>
      <c r="R8" s="128" t="s">
        <v>285</v>
      </c>
      <c r="S8" s="128"/>
      <c r="T8" s="250"/>
    </row>
    <row r="9" spans="1:25" ht="32" x14ac:dyDescent="0.2">
      <c r="A9" s="291"/>
      <c r="B9" s="250"/>
      <c r="C9" s="250"/>
      <c r="D9" s="250"/>
      <c r="E9" s="292"/>
      <c r="F9" s="130"/>
      <c r="G9" s="302"/>
      <c r="H9" s="302"/>
      <c r="I9" s="295"/>
      <c r="J9" s="250"/>
      <c r="K9" s="250"/>
      <c r="L9" s="128" t="s">
        <v>351</v>
      </c>
      <c r="M9" s="128"/>
      <c r="N9" s="303"/>
      <c r="O9" s="303"/>
      <c r="P9" s="128" t="s">
        <v>355</v>
      </c>
      <c r="Q9" s="128"/>
      <c r="R9" s="128" t="s">
        <v>355</v>
      </c>
      <c r="S9" s="128"/>
      <c r="T9" s="250"/>
    </row>
    <row r="10" spans="1:25" ht="16" x14ac:dyDescent="0.2">
      <c r="A10" s="291"/>
      <c r="B10" s="250"/>
      <c r="C10" s="250"/>
      <c r="D10" s="250"/>
      <c r="E10" s="292"/>
      <c r="F10" s="130"/>
      <c r="G10" s="302"/>
      <c r="H10" s="302"/>
      <c r="I10" s="295"/>
      <c r="J10" s="250"/>
      <c r="K10" s="250"/>
      <c r="L10" s="305"/>
      <c r="M10" s="306"/>
      <c r="N10" s="303"/>
      <c r="O10" s="303"/>
      <c r="P10" s="128" t="s">
        <v>356</v>
      </c>
      <c r="Q10" s="128"/>
      <c r="R10" s="303"/>
      <c r="S10" s="303"/>
      <c r="T10" s="250"/>
    </row>
    <row r="11" spans="1:25" ht="48" customHeight="1" x14ac:dyDescent="0.2">
      <c r="A11" s="291"/>
      <c r="B11" s="250" t="s">
        <v>3</v>
      </c>
      <c r="C11" s="250" t="s">
        <v>3</v>
      </c>
      <c r="D11" s="250" t="s">
        <v>3</v>
      </c>
      <c r="E11" s="250" t="s">
        <v>3</v>
      </c>
      <c r="F11" s="304" t="s">
        <v>3</v>
      </c>
      <c r="G11" s="293" t="s">
        <v>14</v>
      </c>
      <c r="H11" s="302" t="s">
        <v>142</v>
      </c>
      <c r="I11" s="295" t="s">
        <v>255</v>
      </c>
      <c r="J11" s="250"/>
      <c r="K11" s="2" t="s">
        <v>210</v>
      </c>
      <c r="L11" s="211"/>
      <c r="M11" s="211"/>
      <c r="N11" s="211"/>
      <c r="O11" s="211"/>
      <c r="P11" s="211"/>
      <c r="Q11" s="211"/>
      <c r="R11" s="211"/>
      <c r="S11" s="211"/>
      <c r="T11" s="250" t="s">
        <v>400</v>
      </c>
    </row>
    <row r="12" spans="1:25" ht="32" x14ac:dyDescent="0.2">
      <c r="A12" s="291"/>
      <c r="B12" s="250"/>
      <c r="C12" s="250"/>
      <c r="D12" s="250"/>
      <c r="E12" s="250"/>
      <c r="F12" s="304"/>
      <c r="G12" s="293"/>
      <c r="H12" s="302"/>
      <c r="I12" s="295"/>
      <c r="J12" s="250"/>
      <c r="K12" s="2" t="s">
        <v>211</v>
      </c>
      <c r="L12" s="211"/>
      <c r="M12" s="211"/>
      <c r="N12" s="211"/>
      <c r="O12" s="211"/>
      <c r="P12" s="211"/>
      <c r="Q12" s="211"/>
      <c r="R12" s="211"/>
      <c r="S12" s="211"/>
      <c r="T12" s="250"/>
    </row>
    <row r="13" spans="1:25" ht="32" x14ac:dyDescent="0.2">
      <c r="A13" s="291"/>
      <c r="B13" s="250"/>
      <c r="C13" s="250"/>
      <c r="D13" s="250"/>
      <c r="E13" s="250"/>
      <c r="F13" s="130"/>
      <c r="G13" s="293"/>
      <c r="H13" s="302"/>
      <c r="I13" s="295"/>
      <c r="J13" s="250"/>
      <c r="K13" s="2"/>
      <c r="L13" s="128" t="s">
        <v>381</v>
      </c>
      <c r="M13" s="128"/>
      <c r="N13" s="128" t="s">
        <v>381</v>
      </c>
      <c r="O13" s="128"/>
      <c r="P13" s="128" t="s">
        <v>381</v>
      </c>
      <c r="Q13" s="128"/>
      <c r="R13" s="128" t="s">
        <v>435</v>
      </c>
      <c r="S13" s="128"/>
      <c r="T13" s="250"/>
    </row>
    <row r="14" spans="1:25" ht="27.5" customHeight="1" x14ac:dyDescent="0.2">
      <c r="A14" s="291"/>
      <c r="B14" s="250"/>
      <c r="C14" s="250"/>
      <c r="D14" s="250"/>
      <c r="E14" s="250"/>
      <c r="F14" s="130"/>
      <c r="G14" s="293"/>
      <c r="H14" s="302"/>
      <c r="I14" s="295"/>
      <c r="J14" s="250"/>
      <c r="K14" s="2" t="s">
        <v>265</v>
      </c>
      <c r="L14" s="128" t="s">
        <v>287</v>
      </c>
      <c r="M14" s="128"/>
      <c r="N14" s="128" t="s">
        <v>287</v>
      </c>
      <c r="O14" s="128"/>
      <c r="P14" s="128" t="s">
        <v>287</v>
      </c>
      <c r="Q14" s="128"/>
      <c r="R14" s="128" t="s">
        <v>436</v>
      </c>
      <c r="S14" s="128"/>
      <c r="T14" s="250"/>
    </row>
    <row r="15" spans="1:25" ht="48" x14ac:dyDescent="0.2">
      <c r="A15" s="291"/>
      <c r="B15" s="250" t="s">
        <v>3</v>
      </c>
      <c r="C15" s="291"/>
      <c r="D15" s="250" t="s">
        <v>3</v>
      </c>
      <c r="E15" s="250" t="s">
        <v>3</v>
      </c>
      <c r="F15" s="304" t="s">
        <v>3</v>
      </c>
      <c r="G15" s="293" t="s">
        <v>15</v>
      </c>
      <c r="H15" s="302" t="s">
        <v>143</v>
      </c>
      <c r="I15" s="295" t="s">
        <v>256</v>
      </c>
      <c r="J15" s="250"/>
      <c r="K15" s="2" t="s">
        <v>210</v>
      </c>
      <c r="L15" s="211"/>
      <c r="M15" s="211"/>
      <c r="N15" s="303"/>
      <c r="O15" s="303"/>
      <c r="P15" s="211"/>
      <c r="Q15" s="211"/>
      <c r="R15" s="211"/>
      <c r="S15" s="211"/>
      <c r="T15" s="250" t="s">
        <v>401</v>
      </c>
    </row>
    <row r="16" spans="1:25" ht="32" x14ac:dyDescent="0.2">
      <c r="A16" s="291"/>
      <c r="B16" s="250"/>
      <c r="C16" s="291"/>
      <c r="D16" s="250"/>
      <c r="E16" s="250"/>
      <c r="F16" s="304"/>
      <c r="G16" s="293"/>
      <c r="H16" s="302"/>
      <c r="I16" s="295"/>
      <c r="J16" s="250"/>
      <c r="K16" s="2" t="s">
        <v>211</v>
      </c>
      <c r="L16" s="211"/>
      <c r="M16" s="211"/>
      <c r="N16" s="303"/>
      <c r="O16" s="303"/>
      <c r="P16" s="211"/>
      <c r="Q16" s="211"/>
      <c r="R16" s="211"/>
      <c r="S16" s="211"/>
      <c r="T16" s="250"/>
    </row>
    <row r="17" spans="1:20" ht="32" x14ac:dyDescent="0.2">
      <c r="A17" s="291"/>
      <c r="B17" s="250"/>
      <c r="C17" s="291"/>
      <c r="D17" s="250"/>
      <c r="E17" s="250"/>
      <c r="F17" s="130"/>
      <c r="G17" s="293"/>
      <c r="H17" s="302"/>
      <c r="I17" s="295"/>
      <c r="J17" s="250"/>
      <c r="K17" s="250" t="s">
        <v>265</v>
      </c>
      <c r="L17" s="128" t="s">
        <v>288</v>
      </c>
      <c r="M17" s="128"/>
      <c r="N17" s="303"/>
      <c r="O17" s="303"/>
      <c r="P17" s="128" t="s">
        <v>288</v>
      </c>
      <c r="Q17" s="128"/>
      <c r="R17" s="128" t="s">
        <v>288</v>
      </c>
      <c r="S17" s="128"/>
      <c r="T17" s="250"/>
    </row>
    <row r="18" spans="1:20" ht="32" x14ac:dyDescent="0.2">
      <c r="A18" s="291"/>
      <c r="B18" s="250"/>
      <c r="C18" s="291"/>
      <c r="D18" s="250"/>
      <c r="E18" s="250"/>
      <c r="F18" s="130"/>
      <c r="G18" s="293"/>
      <c r="H18" s="302"/>
      <c r="I18" s="295"/>
      <c r="J18" s="250"/>
      <c r="K18" s="250"/>
      <c r="L18" s="128" t="s">
        <v>289</v>
      </c>
      <c r="M18" s="128"/>
      <c r="N18" s="303"/>
      <c r="O18" s="303"/>
      <c r="P18" s="128" t="s">
        <v>289</v>
      </c>
      <c r="Q18" s="128"/>
      <c r="R18" s="128" t="s">
        <v>289</v>
      </c>
      <c r="S18" s="128"/>
      <c r="T18" s="250"/>
    </row>
    <row r="19" spans="1:20" ht="32" x14ac:dyDescent="0.2">
      <c r="A19" s="291"/>
      <c r="B19" s="250"/>
      <c r="C19" s="291"/>
      <c r="D19" s="250"/>
      <c r="E19" s="250"/>
      <c r="F19" s="130"/>
      <c r="G19" s="293"/>
      <c r="H19" s="302"/>
      <c r="I19" s="295"/>
      <c r="J19" s="250"/>
      <c r="K19" s="250"/>
      <c r="L19" s="128" t="s">
        <v>290</v>
      </c>
      <c r="M19" s="128"/>
      <c r="N19" s="303"/>
      <c r="O19" s="303"/>
      <c r="P19" s="128" t="s">
        <v>290</v>
      </c>
      <c r="Q19" s="128"/>
      <c r="R19" s="128" t="s">
        <v>290</v>
      </c>
      <c r="S19" s="128"/>
      <c r="T19" s="250"/>
    </row>
    <row r="20" spans="1:20" ht="48" hidden="1" x14ac:dyDescent="0.2">
      <c r="A20" s="291"/>
      <c r="B20" s="250" t="s">
        <v>3</v>
      </c>
      <c r="C20" s="250" t="s">
        <v>3</v>
      </c>
      <c r="D20" s="250" t="s">
        <v>3</v>
      </c>
      <c r="E20" s="250" t="s">
        <v>3</v>
      </c>
      <c r="F20" s="304"/>
      <c r="G20" s="302" t="s">
        <v>56</v>
      </c>
      <c r="H20" s="294" t="s">
        <v>144</v>
      </c>
      <c r="I20" s="295" t="s">
        <v>177</v>
      </c>
      <c r="J20" s="250"/>
      <c r="K20" s="2" t="s">
        <v>210</v>
      </c>
      <c r="L20" s="211"/>
      <c r="M20" s="211"/>
      <c r="N20" s="211"/>
      <c r="O20" s="211"/>
      <c r="P20" s="211"/>
      <c r="Q20" s="211"/>
      <c r="R20" s="211"/>
      <c r="S20" s="211"/>
      <c r="T20" s="250" t="s">
        <v>403</v>
      </c>
    </row>
    <row r="21" spans="1:20" ht="32" hidden="1" x14ac:dyDescent="0.2">
      <c r="A21" s="291"/>
      <c r="B21" s="250"/>
      <c r="C21" s="250"/>
      <c r="D21" s="250"/>
      <c r="E21" s="250"/>
      <c r="F21" s="304"/>
      <c r="G21" s="302"/>
      <c r="H21" s="294"/>
      <c r="I21" s="295"/>
      <c r="J21" s="250"/>
      <c r="K21" s="2" t="s">
        <v>211</v>
      </c>
      <c r="L21" s="211"/>
      <c r="M21" s="211"/>
      <c r="N21" s="211"/>
      <c r="O21" s="211"/>
      <c r="P21" s="211"/>
      <c r="Q21" s="211"/>
      <c r="R21" s="211"/>
      <c r="S21" s="211"/>
      <c r="T21" s="250"/>
    </row>
    <row r="22" spans="1:20" ht="16" hidden="1" x14ac:dyDescent="0.2">
      <c r="A22" s="291"/>
      <c r="B22" s="250"/>
      <c r="C22" s="250"/>
      <c r="D22" s="250"/>
      <c r="E22" s="250"/>
      <c r="F22" s="130"/>
      <c r="G22" s="302"/>
      <c r="H22" s="294"/>
      <c r="I22" s="295"/>
      <c r="J22" s="250"/>
      <c r="K22" s="250" t="s">
        <v>265</v>
      </c>
      <c r="L22" s="128" t="s">
        <v>291</v>
      </c>
      <c r="M22" s="128"/>
      <c r="N22" s="128" t="s">
        <v>291</v>
      </c>
      <c r="O22" s="128"/>
      <c r="P22" s="128" t="s">
        <v>291</v>
      </c>
      <c r="Q22" s="128"/>
      <c r="R22" s="128" t="s">
        <v>291</v>
      </c>
      <c r="S22" s="128"/>
      <c r="T22" s="250"/>
    </row>
    <row r="23" spans="1:20" ht="16" hidden="1" x14ac:dyDescent="0.2">
      <c r="A23" s="291"/>
      <c r="B23" s="250"/>
      <c r="C23" s="250"/>
      <c r="D23" s="250"/>
      <c r="E23" s="250"/>
      <c r="F23" s="130"/>
      <c r="G23" s="302"/>
      <c r="H23" s="294"/>
      <c r="I23" s="295"/>
      <c r="J23" s="250"/>
      <c r="K23" s="250"/>
      <c r="L23" s="128" t="s">
        <v>437</v>
      </c>
      <c r="M23" s="128"/>
      <c r="N23" s="128" t="s">
        <v>437</v>
      </c>
      <c r="O23" s="128"/>
      <c r="P23" s="128" t="s">
        <v>437</v>
      </c>
      <c r="Q23" s="128"/>
      <c r="R23" s="128" t="s">
        <v>437</v>
      </c>
      <c r="S23" s="128"/>
      <c r="T23" s="250"/>
    </row>
    <row r="24" spans="1:20" ht="32" hidden="1" x14ac:dyDescent="0.2">
      <c r="A24" s="291"/>
      <c r="B24" s="250"/>
      <c r="C24" s="250"/>
      <c r="D24" s="250"/>
      <c r="E24" s="250"/>
      <c r="F24" s="130"/>
      <c r="G24" s="302"/>
      <c r="H24" s="294"/>
      <c r="I24" s="295"/>
      <c r="J24" s="250"/>
      <c r="K24" s="250"/>
      <c r="L24" s="128" t="s">
        <v>391</v>
      </c>
      <c r="M24" s="128"/>
      <c r="N24" s="128" t="s">
        <v>391</v>
      </c>
      <c r="O24" s="128"/>
      <c r="P24" s="128" t="s">
        <v>391</v>
      </c>
      <c r="Q24" s="128"/>
      <c r="R24" s="128" t="s">
        <v>391</v>
      </c>
      <c r="S24" s="128"/>
      <c r="T24" s="250"/>
    </row>
    <row r="25" spans="1:20" ht="16" hidden="1" x14ac:dyDescent="0.2">
      <c r="A25" s="291"/>
      <c r="B25" s="250"/>
      <c r="C25" s="250"/>
      <c r="D25" s="250"/>
      <c r="E25" s="250"/>
      <c r="F25" s="130"/>
      <c r="G25" s="302"/>
      <c r="H25" s="294"/>
      <c r="I25" s="295"/>
      <c r="J25" s="250"/>
      <c r="K25" s="250"/>
      <c r="L25" s="128" t="s">
        <v>353</v>
      </c>
      <c r="M25" s="128"/>
      <c r="N25" s="128" t="s">
        <v>357</v>
      </c>
      <c r="O25" s="128"/>
      <c r="P25" s="303"/>
      <c r="Q25" s="303"/>
      <c r="R25" s="128" t="s">
        <v>354</v>
      </c>
      <c r="S25" s="128"/>
      <c r="T25" s="250"/>
    </row>
    <row r="26" spans="1:20" ht="48" hidden="1" x14ac:dyDescent="0.2">
      <c r="A26" s="291"/>
      <c r="B26" s="250" t="s">
        <v>3</v>
      </c>
      <c r="C26" s="250" t="s">
        <v>3</v>
      </c>
      <c r="D26" s="250" t="s">
        <v>3</v>
      </c>
      <c r="E26" s="250" t="s">
        <v>3</v>
      </c>
      <c r="F26" s="304"/>
      <c r="G26" s="302" t="s">
        <v>57</v>
      </c>
      <c r="H26" s="294" t="s">
        <v>145</v>
      </c>
      <c r="I26" s="295" t="s">
        <v>257</v>
      </c>
      <c r="J26" s="250"/>
      <c r="K26" s="2" t="s">
        <v>210</v>
      </c>
      <c r="L26" s="211"/>
      <c r="M26" s="211"/>
      <c r="N26" s="211"/>
      <c r="O26" s="211"/>
      <c r="P26" s="211"/>
      <c r="Q26" s="211"/>
      <c r="R26" s="211"/>
      <c r="S26" s="211"/>
      <c r="T26" s="250" t="s">
        <v>386</v>
      </c>
    </row>
    <row r="27" spans="1:20" ht="32" hidden="1" x14ac:dyDescent="0.2">
      <c r="A27" s="291"/>
      <c r="B27" s="250"/>
      <c r="C27" s="250"/>
      <c r="D27" s="250"/>
      <c r="E27" s="250"/>
      <c r="F27" s="304"/>
      <c r="G27" s="302"/>
      <c r="H27" s="294"/>
      <c r="I27" s="295"/>
      <c r="J27" s="250"/>
      <c r="K27" s="2" t="s">
        <v>211</v>
      </c>
      <c r="L27" s="211"/>
      <c r="M27" s="211"/>
      <c r="N27" s="211"/>
      <c r="O27" s="211"/>
      <c r="P27" s="211"/>
      <c r="Q27" s="211"/>
      <c r="R27" s="211"/>
      <c r="S27" s="211"/>
      <c r="T27" s="250"/>
    </row>
    <row r="28" spans="1:20" ht="16" hidden="1" x14ac:dyDescent="0.2">
      <c r="A28" s="291"/>
      <c r="B28" s="250"/>
      <c r="C28" s="250"/>
      <c r="D28" s="250"/>
      <c r="E28" s="250"/>
      <c r="F28" s="130"/>
      <c r="G28" s="302"/>
      <c r="H28" s="294"/>
      <c r="I28" s="295"/>
      <c r="J28" s="250"/>
      <c r="K28" s="250" t="s">
        <v>265</v>
      </c>
      <c r="L28" s="128" t="s">
        <v>438</v>
      </c>
      <c r="M28" s="128"/>
      <c r="N28" s="128" t="s">
        <v>438</v>
      </c>
      <c r="O28" s="128"/>
      <c r="P28" s="128" t="s">
        <v>438</v>
      </c>
      <c r="Q28" s="128"/>
      <c r="R28" s="128" t="s">
        <v>438</v>
      </c>
      <c r="S28" s="128"/>
      <c r="T28" s="250"/>
    </row>
    <row r="29" spans="1:20" ht="16" hidden="1" x14ac:dyDescent="0.2">
      <c r="A29" s="291"/>
      <c r="B29" s="250"/>
      <c r="C29" s="250"/>
      <c r="D29" s="250"/>
      <c r="E29" s="250"/>
      <c r="F29" s="130"/>
      <c r="G29" s="302"/>
      <c r="H29" s="294"/>
      <c r="I29" s="295"/>
      <c r="J29" s="250"/>
      <c r="K29" s="250"/>
      <c r="L29" s="128" t="s">
        <v>344</v>
      </c>
      <c r="M29" s="128"/>
      <c r="N29" s="128" t="s">
        <v>344</v>
      </c>
      <c r="O29" s="128"/>
      <c r="P29" s="128" t="s">
        <v>344</v>
      </c>
      <c r="Q29" s="128"/>
      <c r="R29" s="128" t="s">
        <v>344</v>
      </c>
      <c r="S29" s="128"/>
      <c r="T29" s="250"/>
    </row>
    <row r="30" spans="1:20" ht="32" hidden="1" x14ac:dyDescent="0.2">
      <c r="A30" s="291"/>
      <c r="B30" s="250"/>
      <c r="C30" s="250"/>
      <c r="D30" s="250"/>
      <c r="E30" s="250"/>
      <c r="F30" s="130"/>
      <c r="G30" s="302"/>
      <c r="H30" s="294"/>
      <c r="I30" s="295"/>
      <c r="J30" s="250"/>
      <c r="K30" s="250"/>
      <c r="L30" s="128" t="s">
        <v>358</v>
      </c>
      <c r="M30" s="128"/>
      <c r="N30" s="128" t="s">
        <v>359</v>
      </c>
      <c r="O30" s="128"/>
      <c r="P30" s="128" t="s">
        <v>361</v>
      </c>
      <c r="Q30" s="128"/>
      <c r="R30" s="128" t="s">
        <v>362</v>
      </c>
      <c r="S30" s="128"/>
      <c r="T30" s="250"/>
    </row>
    <row r="31" spans="1:20" ht="16" hidden="1" x14ac:dyDescent="0.2">
      <c r="A31" s="291"/>
      <c r="B31" s="250"/>
      <c r="C31" s="250"/>
      <c r="D31" s="250"/>
      <c r="E31" s="250"/>
      <c r="F31" s="130"/>
      <c r="G31" s="302"/>
      <c r="H31" s="294"/>
      <c r="I31" s="295"/>
      <c r="J31" s="250"/>
      <c r="K31" s="250"/>
      <c r="L31" s="128" t="s">
        <v>292</v>
      </c>
      <c r="M31" s="128"/>
      <c r="N31" s="128" t="s">
        <v>360</v>
      </c>
      <c r="O31" s="128"/>
      <c r="P31" s="303"/>
      <c r="Q31" s="303"/>
      <c r="R31" s="128" t="s">
        <v>361</v>
      </c>
      <c r="S31" s="128"/>
      <c r="T31" s="250"/>
    </row>
    <row r="32" spans="1:20" ht="43.25" hidden="1" customHeight="1" x14ac:dyDescent="0.2">
      <c r="A32" s="291"/>
      <c r="B32" s="250" t="s">
        <v>3</v>
      </c>
      <c r="C32" s="250" t="s">
        <v>3</v>
      </c>
      <c r="D32" s="250" t="s">
        <v>3</v>
      </c>
      <c r="E32" s="250" t="s">
        <v>3</v>
      </c>
      <c r="F32" s="304"/>
      <c r="G32" s="302" t="s">
        <v>57</v>
      </c>
      <c r="H32" s="294" t="s">
        <v>146</v>
      </c>
      <c r="I32" s="295" t="s">
        <v>178</v>
      </c>
      <c r="J32" s="250"/>
      <c r="K32" s="2" t="s">
        <v>210</v>
      </c>
      <c r="L32" s="211"/>
      <c r="M32" s="211"/>
      <c r="N32" s="211"/>
      <c r="O32" s="211"/>
      <c r="P32" s="211"/>
      <c r="Q32" s="211"/>
      <c r="R32" s="211"/>
      <c r="S32" s="211"/>
      <c r="T32" s="250" t="s">
        <v>404</v>
      </c>
    </row>
    <row r="33" spans="1:20" ht="32" hidden="1" x14ac:dyDescent="0.2">
      <c r="A33" s="291"/>
      <c r="B33" s="250"/>
      <c r="C33" s="250"/>
      <c r="D33" s="250"/>
      <c r="E33" s="250"/>
      <c r="F33" s="304"/>
      <c r="G33" s="302"/>
      <c r="H33" s="294"/>
      <c r="I33" s="295"/>
      <c r="J33" s="250"/>
      <c r="K33" s="2" t="s">
        <v>211</v>
      </c>
      <c r="L33" s="211"/>
      <c r="M33" s="211"/>
      <c r="N33" s="211"/>
      <c r="O33" s="211"/>
      <c r="P33" s="211"/>
      <c r="Q33" s="211"/>
      <c r="R33" s="211"/>
      <c r="S33" s="211"/>
      <c r="T33" s="250"/>
    </row>
    <row r="34" spans="1:20" ht="32" hidden="1" x14ac:dyDescent="0.2">
      <c r="A34" s="291"/>
      <c r="B34" s="250"/>
      <c r="C34" s="250"/>
      <c r="D34" s="250"/>
      <c r="E34" s="250"/>
      <c r="F34" s="130"/>
      <c r="G34" s="302"/>
      <c r="H34" s="294"/>
      <c r="I34" s="295"/>
      <c r="J34" s="250"/>
      <c r="K34" s="250" t="s">
        <v>265</v>
      </c>
      <c r="L34" s="128" t="s">
        <v>293</v>
      </c>
      <c r="M34" s="128"/>
      <c r="N34" s="128" t="s">
        <v>293</v>
      </c>
      <c r="O34" s="128"/>
      <c r="P34" s="128" t="s">
        <v>293</v>
      </c>
      <c r="Q34" s="128"/>
      <c r="R34" s="128" t="s">
        <v>293</v>
      </c>
      <c r="S34" s="128"/>
      <c r="T34" s="250"/>
    </row>
    <row r="35" spans="1:20" ht="32" hidden="1" x14ac:dyDescent="0.2">
      <c r="A35" s="291"/>
      <c r="B35" s="250"/>
      <c r="C35" s="250"/>
      <c r="D35" s="250"/>
      <c r="E35" s="250"/>
      <c r="F35" s="130"/>
      <c r="G35" s="302"/>
      <c r="H35" s="294"/>
      <c r="I35" s="295"/>
      <c r="J35" s="250"/>
      <c r="K35" s="250"/>
      <c r="L35" s="128" t="s">
        <v>294</v>
      </c>
      <c r="M35" s="128"/>
      <c r="N35" s="128" t="s">
        <v>392</v>
      </c>
      <c r="O35" s="128"/>
      <c r="P35" s="128" t="s">
        <v>363</v>
      </c>
      <c r="Q35" s="128"/>
      <c r="R35" s="128" t="s">
        <v>363</v>
      </c>
      <c r="S35" s="128"/>
      <c r="T35" s="250"/>
    </row>
    <row r="36" spans="1:20" ht="32" hidden="1" x14ac:dyDescent="0.2">
      <c r="A36" s="291"/>
      <c r="B36" s="250"/>
      <c r="C36" s="250"/>
      <c r="D36" s="250"/>
      <c r="E36" s="250"/>
      <c r="F36" s="130"/>
      <c r="G36" s="302"/>
      <c r="H36" s="294"/>
      <c r="I36" s="295"/>
      <c r="J36" s="250"/>
      <c r="K36" s="250"/>
      <c r="L36" s="128" t="s">
        <v>392</v>
      </c>
      <c r="M36" s="128"/>
      <c r="N36" s="303"/>
      <c r="O36" s="303"/>
      <c r="P36" s="128" t="s">
        <v>392</v>
      </c>
      <c r="Q36" s="128"/>
      <c r="R36" s="128" t="s">
        <v>392</v>
      </c>
      <c r="S36" s="128"/>
      <c r="T36" s="250"/>
    </row>
    <row r="37" spans="1:20" ht="48" customHeight="1" x14ac:dyDescent="0.2">
      <c r="A37" s="291"/>
      <c r="B37" s="250" t="s">
        <v>3</v>
      </c>
      <c r="C37" s="291"/>
      <c r="D37" s="291"/>
      <c r="E37" s="250" t="s">
        <v>3</v>
      </c>
      <c r="F37" s="304" t="s">
        <v>3</v>
      </c>
      <c r="G37" s="293" t="s">
        <v>207</v>
      </c>
      <c r="H37" s="294" t="s">
        <v>147</v>
      </c>
      <c r="I37" s="295" t="s">
        <v>179</v>
      </c>
      <c r="J37" s="250"/>
      <c r="K37" s="2" t="s">
        <v>210</v>
      </c>
      <c r="L37" s="211"/>
      <c r="M37" s="211"/>
      <c r="N37" s="303"/>
      <c r="O37" s="303"/>
      <c r="P37" s="303"/>
      <c r="Q37" s="303"/>
      <c r="R37" s="211"/>
      <c r="S37" s="211"/>
      <c r="T37" s="250" t="s">
        <v>387</v>
      </c>
    </row>
    <row r="38" spans="1:20" ht="32" x14ac:dyDescent="0.2">
      <c r="A38" s="291"/>
      <c r="B38" s="250"/>
      <c r="C38" s="291"/>
      <c r="D38" s="291"/>
      <c r="E38" s="250"/>
      <c r="F38" s="304"/>
      <c r="G38" s="293"/>
      <c r="H38" s="294"/>
      <c r="I38" s="295"/>
      <c r="J38" s="250"/>
      <c r="K38" s="2" t="s">
        <v>211</v>
      </c>
      <c r="L38" s="211"/>
      <c r="M38" s="211"/>
      <c r="N38" s="303"/>
      <c r="O38" s="303"/>
      <c r="P38" s="303"/>
      <c r="Q38" s="303"/>
      <c r="R38" s="211"/>
      <c r="S38" s="211"/>
      <c r="T38" s="250"/>
    </row>
    <row r="39" spans="1:20" ht="16" x14ac:dyDescent="0.2">
      <c r="A39" s="291"/>
      <c r="B39" s="250"/>
      <c r="C39" s="291"/>
      <c r="D39" s="291"/>
      <c r="E39" s="250"/>
      <c r="F39" s="130"/>
      <c r="G39" s="293"/>
      <c r="H39" s="294"/>
      <c r="I39" s="295"/>
      <c r="J39" s="250"/>
      <c r="K39" s="250" t="s">
        <v>265</v>
      </c>
      <c r="L39" s="128" t="s">
        <v>439</v>
      </c>
      <c r="M39" s="128"/>
      <c r="N39" s="303"/>
      <c r="O39" s="303"/>
      <c r="P39" s="303"/>
      <c r="Q39" s="303"/>
      <c r="R39" s="128" t="s">
        <v>439</v>
      </c>
      <c r="S39" s="128"/>
      <c r="T39" s="250"/>
    </row>
    <row r="40" spans="1:20" ht="16" x14ac:dyDescent="0.2">
      <c r="A40" s="291"/>
      <c r="B40" s="250"/>
      <c r="C40" s="291"/>
      <c r="D40" s="291"/>
      <c r="E40" s="250"/>
      <c r="F40" s="130"/>
      <c r="G40" s="293"/>
      <c r="H40" s="294"/>
      <c r="I40" s="295"/>
      <c r="J40" s="250"/>
      <c r="K40" s="250"/>
      <c r="L40" s="128" t="s">
        <v>295</v>
      </c>
      <c r="M40" s="128"/>
      <c r="N40" s="303"/>
      <c r="O40" s="303"/>
      <c r="P40" s="303"/>
      <c r="Q40" s="303"/>
      <c r="R40" s="128" t="s">
        <v>295</v>
      </c>
      <c r="S40" s="128"/>
      <c r="T40" s="250"/>
    </row>
    <row r="41" spans="1:20" s="84" customFormat="1" ht="43.25" customHeight="1" x14ac:dyDescent="0.2">
      <c r="A41" s="314"/>
      <c r="B41" s="250" t="s">
        <v>3</v>
      </c>
      <c r="C41" s="291"/>
      <c r="D41" s="291"/>
      <c r="E41" s="250" t="s">
        <v>3</v>
      </c>
      <c r="F41" s="304" t="s">
        <v>3</v>
      </c>
      <c r="G41" s="293" t="s">
        <v>207</v>
      </c>
      <c r="H41" s="302" t="s">
        <v>148</v>
      </c>
      <c r="I41" s="295" t="s">
        <v>258</v>
      </c>
      <c r="J41" s="250"/>
      <c r="K41" s="2" t="s">
        <v>210</v>
      </c>
      <c r="L41" s="211"/>
      <c r="M41" s="211"/>
      <c r="N41" s="305"/>
      <c r="O41" s="306"/>
      <c r="P41" s="303"/>
      <c r="Q41" s="303"/>
      <c r="R41" s="211"/>
      <c r="S41" s="211"/>
      <c r="T41" s="315" t="s">
        <v>405</v>
      </c>
    </row>
    <row r="42" spans="1:20" s="84" customFormat="1" ht="32" x14ac:dyDescent="0.2">
      <c r="A42" s="314"/>
      <c r="B42" s="250"/>
      <c r="C42" s="291"/>
      <c r="D42" s="291"/>
      <c r="E42" s="250"/>
      <c r="F42" s="304"/>
      <c r="G42" s="293"/>
      <c r="H42" s="302"/>
      <c r="I42" s="295"/>
      <c r="J42" s="250"/>
      <c r="K42" s="2" t="s">
        <v>211</v>
      </c>
      <c r="L42" s="211"/>
      <c r="M42" s="211"/>
      <c r="N42" s="305"/>
      <c r="O42" s="306"/>
      <c r="P42" s="303"/>
      <c r="Q42" s="303"/>
      <c r="R42" s="211"/>
      <c r="S42" s="211"/>
      <c r="T42" s="315"/>
    </row>
    <row r="43" spans="1:20" s="84" customFormat="1" ht="16" x14ac:dyDescent="0.2">
      <c r="A43" s="314"/>
      <c r="B43" s="250"/>
      <c r="C43" s="291"/>
      <c r="D43" s="291"/>
      <c r="E43" s="250"/>
      <c r="F43" s="130"/>
      <c r="G43" s="293"/>
      <c r="H43" s="302"/>
      <c r="I43" s="295"/>
      <c r="J43" s="250"/>
      <c r="K43" s="250" t="s">
        <v>265</v>
      </c>
      <c r="L43" s="128" t="s">
        <v>296</v>
      </c>
      <c r="M43" s="128"/>
      <c r="N43" s="303"/>
      <c r="O43" s="303"/>
      <c r="P43" s="303"/>
      <c r="Q43" s="303"/>
      <c r="R43" s="128" t="s">
        <v>296</v>
      </c>
      <c r="S43" s="128"/>
      <c r="T43" s="315"/>
    </row>
    <row r="44" spans="1:20" s="84" customFormat="1" ht="32" x14ac:dyDescent="0.2">
      <c r="A44" s="314"/>
      <c r="B44" s="250"/>
      <c r="C44" s="291"/>
      <c r="D44" s="291"/>
      <c r="E44" s="250"/>
      <c r="F44" s="130"/>
      <c r="G44" s="293"/>
      <c r="H44" s="302"/>
      <c r="I44" s="295"/>
      <c r="J44" s="250"/>
      <c r="K44" s="250"/>
      <c r="L44" s="128" t="s">
        <v>440</v>
      </c>
      <c r="M44" s="128"/>
      <c r="N44" s="303"/>
      <c r="O44" s="303"/>
      <c r="P44" s="303"/>
      <c r="Q44" s="303"/>
      <c r="R44" s="128" t="s">
        <v>440</v>
      </c>
      <c r="S44" s="128"/>
      <c r="T44" s="315"/>
    </row>
    <row r="45" spans="1:20" s="84" customFormat="1" ht="16" x14ac:dyDescent="0.2">
      <c r="A45" s="314"/>
      <c r="B45" s="250"/>
      <c r="C45" s="291"/>
      <c r="D45" s="291"/>
      <c r="E45" s="250"/>
      <c r="F45" s="130"/>
      <c r="G45" s="293"/>
      <c r="H45" s="302"/>
      <c r="I45" s="295"/>
      <c r="J45" s="250"/>
      <c r="K45" s="250"/>
      <c r="L45" s="128" t="s">
        <v>297</v>
      </c>
      <c r="M45" s="128"/>
      <c r="N45" s="303"/>
      <c r="O45" s="303"/>
      <c r="P45" s="303"/>
      <c r="Q45" s="303"/>
      <c r="R45" s="128" t="s">
        <v>364</v>
      </c>
      <c r="S45" s="128"/>
      <c r="T45" s="315"/>
    </row>
    <row r="46" spans="1:20" ht="43.25" hidden="1" customHeight="1" x14ac:dyDescent="0.2">
      <c r="A46" s="291"/>
      <c r="B46" s="250" t="s">
        <v>3</v>
      </c>
      <c r="C46" s="250" t="s">
        <v>3</v>
      </c>
      <c r="D46" s="250" t="s">
        <v>3</v>
      </c>
      <c r="E46" s="250" t="s">
        <v>3</v>
      </c>
      <c r="F46" s="304"/>
      <c r="G46" s="293" t="s">
        <v>16</v>
      </c>
      <c r="H46" s="293" t="s">
        <v>168</v>
      </c>
      <c r="I46" s="295" t="s">
        <v>180</v>
      </c>
      <c r="J46" s="250"/>
      <c r="K46" s="2" t="s">
        <v>210</v>
      </c>
      <c r="L46" s="211"/>
      <c r="M46" s="211"/>
      <c r="N46" s="211"/>
      <c r="O46" s="211"/>
      <c r="P46" s="211"/>
      <c r="Q46" s="211"/>
      <c r="R46" s="211"/>
      <c r="S46" s="211"/>
      <c r="T46" s="250" t="s">
        <v>388</v>
      </c>
    </row>
    <row r="47" spans="1:20" ht="32" hidden="1" x14ac:dyDescent="0.2">
      <c r="A47" s="291"/>
      <c r="B47" s="250"/>
      <c r="C47" s="250"/>
      <c r="D47" s="250"/>
      <c r="E47" s="250"/>
      <c r="F47" s="304"/>
      <c r="G47" s="293"/>
      <c r="H47" s="293"/>
      <c r="I47" s="295"/>
      <c r="J47" s="250"/>
      <c r="K47" s="2" t="s">
        <v>211</v>
      </c>
      <c r="L47" s="211"/>
      <c r="M47" s="211"/>
      <c r="N47" s="211"/>
      <c r="O47" s="211"/>
      <c r="P47" s="211"/>
      <c r="Q47" s="211"/>
      <c r="R47" s="211"/>
      <c r="S47" s="211"/>
      <c r="T47" s="250"/>
    </row>
    <row r="48" spans="1:20" ht="16" hidden="1" x14ac:dyDescent="0.2">
      <c r="A48" s="291"/>
      <c r="B48" s="250"/>
      <c r="C48" s="250"/>
      <c r="D48" s="250"/>
      <c r="E48" s="250"/>
      <c r="F48" s="130"/>
      <c r="G48" s="293"/>
      <c r="H48" s="293"/>
      <c r="I48" s="295"/>
      <c r="J48" s="250"/>
      <c r="K48" s="250" t="s">
        <v>265</v>
      </c>
      <c r="L48" s="128" t="s">
        <v>299</v>
      </c>
      <c r="M48" s="128"/>
      <c r="N48" s="128" t="s">
        <v>299</v>
      </c>
      <c r="O48" s="128"/>
      <c r="P48" s="128" t="s">
        <v>299</v>
      </c>
      <c r="Q48" s="128"/>
      <c r="R48" s="128" t="s">
        <v>299</v>
      </c>
      <c r="S48" s="128"/>
      <c r="T48" s="250"/>
    </row>
    <row r="49" spans="1:20" ht="16" hidden="1" x14ac:dyDescent="0.2">
      <c r="A49" s="291"/>
      <c r="B49" s="250"/>
      <c r="C49" s="250"/>
      <c r="D49" s="250"/>
      <c r="E49" s="250"/>
      <c r="F49" s="130"/>
      <c r="G49" s="293"/>
      <c r="H49" s="293"/>
      <c r="I49" s="295"/>
      <c r="J49" s="250"/>
      <c r="K49" s="250"/>
      <c r="L49" s="128" t="s">
        <v>298</v>
      </c>
      <c r="M49" s="128"/>
      <c r="N49" s="128" t="s">
        <v>298</v>
      </c>
      <c r="O49" s="128"/>
      <c r="P49" s="128" t="s">
        <v>298</v>
      </c>
      <c r="Q49" s="128"/>
      <c r="R49" s="128" t="s">
        <v>298</v>
      </c>
      <c r="S49" s="128"/>
      <c r="T49" s="250"/>
    </row>
    <row r="50" spans="1:20" ht="32" hidden="1" x14ac:dyDescent="0.2">
      <c r="A50" s="291"/>
      <c r="B50" s="250"/>
      <c r="C50" s="250"/>
      <c r="D50" s="250"/>
      <c r="E50" s="250"/>
      <c r="F50" s="130"/>
      <c r="G50" s="293"/>
      <c r="H50" s="293"/>
      <c r="I50" s="295"/>
      <c r="J50" s="250"/>
      <c r="K50" s="250"/>
      <c r="L50" s="128" t="s">
        <v>352</v>
      </c>
      <c r="M50" s="128"/>
      <c r="N50" s="128" t="s">
        <v>365</v>
      </c>
      <c r="O50" s="128"/>
      <c r="P50" s="303"/>
      <c r="Q50" s="303"/>
      <c r="R50" s="128" t="s">
        <v>352</v>
      </c>
      <c r="S50" s="128"/>
      <c r="T50" s="250"/>
    </row>
    <row r="51" spans="1:20" ht="72" hidden="1" customHeight="1" x14ac:dyDescent="0.2">
      <c r="A51" s="291"/>
      <c r="B51" s="250" t="s">
        <v>3</v>
      </c>
      <c r="C51" s="250" t="s">
        <v>3</v>
      </c>
      <c r="D51" s="250" t="s">
        <v>3</v>
      </c>
      <c r="E51" s="250" t="s">
        <v>3</v>
      </c>
      <c r="F51" s="304"/>
      <c r="G51" s="293" t="s">
        <v>16</v>
      </c>
      <c r="H51" s="294" t="s">
        <v>149</v>
      </c>
      <c r="I51" s="295" t="s">
        <v>259</v>
      </c>
      <c r="J51" s="250"/>
      <c r="K51" s="2" t="s">
        <v>210</v>
      </c>
      <c r="L51" s="211"/>
      <c r="M51" s="211"/>
      <c r="N51" s="211"/>
      <c r="O51" s="211"/>
      <c r="P51" s="211"/>
      <c r="Q51" s="211"/>
      <c r="R51" s="211"/>
      <c r="S51" s="211"/>
      <c r="T51" s="250" t="s">
        <v>406</v>
      </c>
    </row>
    <row r="52" spans="1:20" ht="32" hidden="1" x14ac:dyDescent="0.2">
      <c r="A52" s="291"/>
      <c r="B52" s="250"/>
      <c r="C52" s="250"/>
      <c r="D52" s="250"/>
      <c r="E52" s="250"/>
      <c r="F52" s="304"/>
      <c r="G52" s="293"/>
      <c r="H52" s="294"/>
      <c r="I52" s="295"/>
      <c r="J52" s="250"/>
      <c r="K52" s="2" t="s">
        <v>211</v>
      </c>
      <c r="L52" s="211"/>
      <c r="M52" s="211"/>
      <c r="N52" s="211"/>
      <c r="O52" s="211"/>
      <c r="P52" s="211"/>
      <c r="Q52" s="211"/>
      <c r="R52" s="211"/>
      <c r="S52" s="211"/>
      <c r="T52" s="250"/>
    </row>
    <row r="53" spans="1:20" ht="16" hidden="1" x14ac:dyDescent="0.2">
      <c r="A53" s="291"/>
      <c r="B53" s="250"/>
      <c r="C53" s="250"/>
      <c r="D53" s="250"/>
      <c r="E53" s="250"/>
      <c r="F53" s="130"/>
      <c r="G53" s="293"/>
      <c r="H53" s="294"/>
      <c r="I53" s="295"/>
      <c r="J53" s="250"/>
      <c r="K53" s="325" t="s">
        <v>265</v>
      </c>
      <c r="L53" s="128" t="s">
        <v>300</v>
      </c>
      <c r="M53" s="128"/>
      <c r="N53" s="128" t="s">
        <v>300</v>
      </c>
      <c r="O53" s="128"/>
      <c r="P53" s="128" t="s">
        <v>300</v>
      </c>
      <c r="Q53" s="128"/>
      <c r="R53" s="128" t="s">
        <v>300</v>
      </c>
      <c r="S53" s="128"/>
      <c r="T53" s="250"/>
    </row>
    <row r="54" spans="1:20" ht="16" hidden="1" x14ac:dyDescent="0.2">
      <c r="A54" s="291"/>
      <c r="B54" s="250"/>
      <c r="C54" s="250"/>
      <c r="D54" s="250"/>
      <c r="E54" s="250"/>
      <c r="F54" s="130"/>
      <c r="G54" s="293"/>
      <c r="H54" s="294"/>
      <c r="I54" s="295"/>
      <c r="J54" s="250"/>
      <c r="K54" s="326"/>
      <c r="L54" s="128" t="s">
        <v>301</v>
      </c>
      <c r="M54" s="128"/>
      <c r="N54" s="128" t="s">
        <v>301</v>
      </c>
      <c r="O54" s="128"/>
      <c r="P54" s="128" t="s">
        <v>301</v>
      </c>
      <c r="Q54" s="128"/>
      <c r="R54" s="128" t="s">
        <v>301</v>
      </c>
      <c r="S54" s="128"/>
      <c r="T54" s="250"/>
    </row>
    <row r="55" spans="1:20" ht="16" hidden="1" x14ac:dyDescent="0.2">
      <c r="A55" s="291"/>
      <c r="B55" s="250"/>
      <c r="C55" s="250"/>
      <c r="D55" s="250"/>
      <c r="E55" s="250"/>
      <c r="F55" s="130"/>
      <c r="G55" s="293"/>
      <c r="H55" s="294"/>
      <c r="I55" s="295"/>
      <c r="J55" s="250"/>
      <c r="K55" s="326"/>
      <c r="L55" s="128" t="s">
        <v>302</v>
      </c>
      <c r="M55" s="128"/>
      <c r="N55" s="128" t="s">
        <v>302</v>
      </c>
      <c r="O55" s="128"/>
      <c r="P55" s="128" t="s">
        <v>302</v>
      </c>
      <c r="Q55" s="128"/>
      <c r="R55" s="128" t="s">
        <v>302</v>
      </c>
      <c r="S55" s="128"/>
      <c r="T55" s="250"/>
    </row>
    <row r="56" spans="1:20" ht="32" hidden="1" x14ac:dyDescent="0.2">
      <c r="A56" s="291"/>
      <c r="B56" s="250"/>
      <c r="C56" s="250"/>
      <c r="D56" s="250"/>
      <c r="E56" s="250"/>
      <c r="F56" s="130"/>
      <c r="G56" s="293"/>
      <c r="H56" s="294"/>
      <c r="I56" s="295"/>
      <c r="J56" s="250"/>
      <c r="K56" s="327"/>
      <c r="L56" s="303"/>
      <c r="M56" s="303"/>
      <c r="N56" s="128" t="s">
        <v>366</v>
      </c>
      <c r="O56" s="128"/>
      <c r="P56" s="128" t="s">
        <v>367</v>
      </c>
      <c r="Q56" s="128"/>
      <c r="R56" s="128" t="s">
        <v>441</v>
      </c>
      <c r="S56" s="128"/>
      <c r="T56" s="250"/>
    </row>
    <row r="57" spans="1:20" ht="57.5" customHeight="1" x14ac:dyDescent="0.2">
      <c r="A57" s="291"/>
      <c r="B57" s="250" t="s">
        <v>3</v>
      </c>
      <c r="C57" s="250" t="s">
        <v>3</v>
      </c>
      <c r="D57" s="250" t="s">
        <v>3</v>
      </c>
      <c r="E57" s="250" t="s">
        <v>3</v>
      </c>
      <c r="F57" s="304" t="s">
        <v>3</v>
      </c>
      <c r="G57" s="293" t="s">
        <v>16</v>
      </c>
      <c r="H57" s="294" t="s">
        <v>150</v>
      </c>
      <c r="I57" s="295" t="s">
        <v>181</v>
      </c>
      <c r="J57" s="250"/>
      <c r="K57" s="2" t="s">
        <v>210</v>
      </c>
      <c r="L57" s="211"/>
      <c r="M57" s="211"/>
      <c r="N57" s="211"/>
      <c r="O57" s="211"/>
      <c r="P57" s="211"/>
      <c r="Q57" s="211"/>
      <c r="R57" s="211"/>
      <c r="S57" s="211"/>
      <c r="T57" s="250" t="s">
        <v>407</v>
      </c>
    </row>
    <row r="58" spans="1:20" ht="32" x14ac:dyDescent="0.2">
      <c r="A58" s="291"/>
      <c r="B58" s="250"/>
      <c r="C58" s="250"/>
      <c r="D58" s="250"/>
      <c r="E58" s="250"/>
      <c r="F58" s="304"/>
      <c r="G58" s="293"/>
      <c r="H58" s="294"/>
      <c r="I58" s="295"/>
      <c r="J58" s="250"/>
      <c r="K58" s="2" t="s">
        <v>211</v>
      </c>
      <c r="L58" s="211"/>
      <c r="M58" s="211"/>
      <c r="N58" s="211"/>
      <c r="O58" s="211"/>
      <c r="P58" s="211"/>
      <c r="Q58" s="211"/>
      <c r="R58" s="211"/>
      <c r="S58" s="211"/>
      <c r="T58" s="250"/>
    </row>
    <row r="59" spans="1:20" ht="16" x14ac:dyDescent="0.2">
      <c r="A59" s="291"/>
      <c r="B59" s="250"/>
      <c r="C59" s="250"/>
      <c r="D59" s="250"/>
      <c r="E59" s="250"/>
      <c r="F59" s="130"/>
      <c r="G59" s="293"/>
      <c r="H59" s="294"/>
      <c r="I59" s="295"/>
      <c r="J59" s="250"/>
      <c r="K59" s="250" t="s">
        <v>265</v>
      </c>
      <c r="L59" s="128" t="s">
        <v>303</v>
      </c>
      <c r="M59" s="128"/>
      <c r="N59" s="128" t="s">
        <v>303</v>
      </c>
      <c r="O59" s="128"/>
      <c r="P59" s="128" t="s">
        <v>303</v>
      </c>
      <c r="Q59" s="128"/>
      <c r="R59" s="128" t="s">
        <v>303</v>
      </c>
      <c r="S59" s="128"/>
      <c r="T59" s="250"/>
    </row>
    <row r="60" spans="1:20" ht="16" x14ac:dyDescent="0.2">
      <c r="A60" s="291"/>
      <c r="B60" s="250"/>
      <c r="C60" s="250"/>
      <c r="D60" s="250"/>
      <c r="E60" s="250"/>
      <c r="F60" s="130"/>
      <c r="G60" s="293"/>
      <c r="H60" s="294"/>
      <c r="I60" s="295"/>
      <c r="J60" s="250"/>
      <c r="K60" s="250"/>
      <c r="L60" s="128" t="s">
        <v>304</v>
      </c>
      <c r="M60" s="128"/>
      <c r="N60" s="128" t="s">
        <v>304</v>
      </c>
      <c r="O60" s="128"/>
      <c r="P60" s="128" t="s">
        <v>304</v>
      </c>
      <c r="Q60" s="128"/>
      <c r="R60" s="128" t="s">
        <v>304</v>
      </c>
      <c r="S60" s="128"/>
      <c r="T60" s="250"/>
    </row>
    <row r="61" spans="1:20" ht="16" x14ac:dyDescent="0.2">
      <c r="A61" s="291"/>
      <c r="B61" s="250"/>
      <c r="C61" s="250"/>
      <c r="D61" s="250"/>
      <c r="E61" s="250"/>
      <c r="F61" s="130"/>
      <c r="G61" s="293"/>
      <c r="H61" s="294"/>
      <c r="I61" s="295"/>
      <c r="J61" s="250"/>
      <c r="K61" s="250"/>
      <c r="L61" s="303"/>
      <c r="M61" s="303"/>
      <c r="N61" s="303"/>
      <c r="O61" s="303"/>
      <c r="P61" s="128" t="s">
        <v>368</v>
      </c>
      <c r="Q61" s="128"/>
      <c r="R61" s="303"/>
      <c r="S61" s="303"/>
      <c r="T61" s="250"/>
    </row>
    <row r="62" spans="1:20" ht="48" x14ac:dyDescent="0.2">
      <c r="A62" s="291"/>
      <c r="B62" s="250" t="s">
        <v>3</v>
      </c>
      <c r="C62" s="250" t="s">
        <v>3</v>
      </c>
      <c r="D62" s="250" t="s">
        <v>3</v>
      </c>
      <c r="E62" s="250" t="s">
        <v>3</v>
      </c>
      <c r="F62" s="304" t="s">
        <v>3</v>
      </c>
      <c r="G62" s="293" t="s">
        <v>16</v>
      </c>
      <c r="H62" s="302" t="s">
        <v>151</v>
      </c>
      <c r="I62" s="295" t="s">
        <v>227</v>
      </c>
      <c r="J62" s="250"/>
      <c r="K62" s="2" t="s">
        <v>210</v>
      </c>
      <c r="L62" s="211"/>
      <c r="M62" s="211"/>
      <c r="N62" s="211"/>
      <c r="O62" s="211"/>
      <c r="P62" s="211"/>
      <c r="Q62" s="211"/>
      <c r="R62" s="211"/>
      <c r="S62" s="211"/>
      <c r="T62" s="250" t="s">
        <v>408</v>
      </c>
    </row>
    <row r="63" spans="1:20" ht="32" x14ac:dyDescent="0.2">
      <c r="A63" s="291"/>
      <c r="B63" s="250"/>
      <c r="C63" s="250"/>
      <c r="D63" s="250"/>
      <c r="E63" s="250"/>
      <c r="F63" s="304"/>
      <c r="G63" s="293"/>
      <c r="H63" s="302"/>
      <c r="I63" s="295"/>
      <c r="J63" s="250"/>
      <c r="K63" s="2" t="s">
        <v>211</v>
      </c>
      <c r="L63" s="211"/>
      <c r="M63" s="211"/>
      <c r="N63" s="211"/>
      <c r="O63" s="211"/>
      <c r="P63" s="211"/>
      <c r="Q63" s="211"/>
      <c r="R63" s="211"/>
      <c r="S63" s="211"/>
      <c r="T63" s="250"/>
    </row>
    <row r="64" spans="1:20" ht="16" x14ac:dyDescent="0.2">
      <c r="A64" s="291"/>
      <c r="B64" s="250"/>
      <c r="C64" s="250"/>
      <c r="D64" s="250"/>
      <c r="E64" s="250"/>
      <c r="F64" s="130"/>
      <c r="G64" s="293"/>
      <c r="H64" s="302"/>
      <c r="I64" s="295"/>
      <c r="J64" s="250"/>
      <c r="K64" s="250" t="s">
        <v>265</v>
      </c>
      <c r="L64" s="128" t="s">
        <v>305</v>
      </c>
      <c r="M64" s="128"/>
      <c r="N64" s="128" t="s">
        <v>305</v>
      </c>
      <c r="O64" s="128"/>
      <c r="P64" s="128" t="s">
        <v>305</v>
      </c>
      <c r="Q64" s="128"/>
      <c r="R64" s="128" t="s">
        <v>305</v>
      </c>
      <c r="S64" s="128"/>
      <c r="T64" s="250"/>
    </row>
    <row r="65" spans="1:20" ht="16" x14ac:dyDescent="0.2">
      <c r="A65" s="291"/>
      <c r="B65" s="250"/>
      <c r="C65" s="250"/>
      <c r="D65" s="250"/>
      <c r="E65" s="250"/>
      <c r="F65" s="130"/>
      <c r="G65" s="293"/>
      <c r="H65" s="302"/>
      <c r="I65" s="295"/>
      <c r="J65" s="250"/>
      <c r="K65" s="250"/>
      <c r="L65" s="128" t="s">
        <v>306</v>
      </c>
      <c r="M65" s="128"/>
      <c r="N65" s="128" t="s">
        <v>306</v>
      </c>
      <c r="O65" s="128"/>
      <c r="P65" s="128" t="s">
        <v>306</v>
      </c>
      <c r="Q65" s="128"/>
      <c r="R65" s="128" t="s">
        <v>306</v>
      </c>
      <c r="S65" s="128"/>
      <c r="T65" s="250"/>
    </row>
    <row r="66" spans="1:20" ht="16" x14ac:dyDescent="0.2">
      <c r="A66" s="291"/>
      <c r="B66" s="250"/>
      <c r="C66" s="250"/>
      <c r="D66" s="250"/>
      <c r="E66" s="250"/>
      <c r="F66" s="130"/>
      <c r="G66" s="293"/>
      <c r="H66" s="302"/>
      <c r="I66" s="295"/>
      <c r="J66" s="250"/>
      <c r="K66" s="250"/>
      <c r="L66" s="303"/>
      <c r="M66" s="303"/>
      <c r="N66" s="303"/>
      <c r="O66" s="303"/>
      <c r="P66" s="303"/>
      <c r="Q66" s="303"/>
      <c r="R66" s="128" t="s">
        <v>369</v>
      </c>
      <c r="S66" s="128"/>
      <c r="T66" s="250"/>
    </row>
    <row r="67" spans="1:20" ht="43.25" customHeight="1" x14ac:dyDescent="0.2">
      <c r="A67" s="291"/>
      <c r="B67" s="250" t="s">
        <v>3</v>
      </c>
      <c r="C67" s="291"/>
      <c r="D67" s="291"/>
      <c r="E67" s="250" t="s">
        <v>3</v>
      </c>
      <c r="F67" s="304" t="s">
        <v>3</v>
      </c>
      <c r="G67" s="302" t="s">
        <v>4</v>
      </c>
      <c r="H67" s="302" t="s">
        <v>152</v>
      </c>
      <c r="I67" s="295" t="s">
        <v>260</v>
      </c>
      <c r="J67" s="250"/>
      <c r="K67" s="2" t="s">
        <v>210</v>
      </c>
      <c r="L67" s="211"/>
      <c r="M67" s="211"/>
      <c r="N67" s="303"/>
      <c r="O67" s="303"/>
      <c r="P67" s="303"/>
      <c r="Q67" s="303"/>
      <c r="R67" s="211"/>
      <c r="S67" s="211"/>
      <c r="T67" s="250" t="s">
        <v>389</v>
      </c>
    </row>
    <row r="68" spans="1:20" ht="32" x14ac:dyDescent="0.2">
      <c r="A68" s="291"/>
      <c r="B68" s="250"/>
      <c r="C68" s="291"/>
      <c r="D68" s="291"/>
      <c r="E68" s="250"/>
      <c r="F68" s="304"/>
      <c r="G68" s="302"/>
      <c r="H68" s="302"/>
      <c r="I68" s="295"/>
      <c r="J68" s="250"/>
      <c r="K68" s="2" t="s">
        <v>211</v>
      </c>
      <c r="L68" s="211"/>
      <c r="M68" s="211"/>
      <c r="N68" s="303"/>
      <c r="O68" s="303"/>
      <c r="P68" s="303"/>
      <c r="Q68" s="303"/>
      <c r="R68" s="211"/>
      <c r="S68" s="211"/>
      <c r="T68" s="250"/>
    </row>
    <row r="69" spans="1:20" ht="32" x14ac:dyDescent="0.2">
      <c r="A69" s="291"/>
      <c r="B69" s="250"/>
      <c r="C69" s="291"/>
      <c r="D69" s="291"/>
      <c r="E69" s="250"/>
      <c r="F69" s="130"/>
      <c r="G69" s="302"/>
      <c r="H69" s="302"/>
      <c r="I69" s="295"/>
      <c r="J69" s="250"/>
      <c r="K69" s="250" t="s">
        <v>265</v>
      </c>
      <c r="L69" s="128" t="s">
        <v>307</v>
      </c>
      <c r="M69" s="128"/>
      <c r="N69" s="303"/>
      <c r="O69" s="303"/>
      <c r="P69" s="303"/>
      <c r="Q69" s="303"/>
      <c r="R69" s="128" t="s">
        <v>307</v>
      </c>
      <c r="S69" s="128"/>
      <c r="T69" s="250"/>
    </row>
    <row r="70" spans="1:20" ht="32" x14ac:dyDescent="0.2">
      <c r="A70" s="291"/>
      <c r="B70" s="250"/>
      <c r="C70" s="291"/>
      <c r="D70" s="291"/>
      <c r="E70" s="250"/>
      <c r="F70" s="130"/>
      <c r="G70" s="302"/>
      <c r="H70" s="302"/>
      <c r="I70" s="295"/>
      <c r="J70" s="250"/>
      <c r="K70" s="250"/>
      <c r="L70" s="128" t="s">
        <v>347</v>
      </c>
      <c r="M70" s="128"/>
      <c r="N70" s="303"/>
      <c r="O70" s="303"/>
      <c r="P70" s="303"/>
      <c r="Q70" s="303"/>
      <c r="R70" s="128" t="s">
        <v>347</v>
      </c>
      <c r="S70" s="128"/>
      <c r="T70" s="250"/>
    </row>
    <row r="71" spans="1:20" ht="48" x14ac:dyDescent="0.2">
      <c r="A71" s="291"/>
      <c r="B71" s="250"/>
      <c r="C71" s="291"/>
      <c r="D71" s="291"/>
      <c r="E71" s="250" t="s">
        <v>3</v>
      </c>
      <c r="F71" s="304" t="s">
        <v>3</v>
      </c>
      <c r="G71" s="302" t="s">
        <v>4</v>
      </c>
      <c r="H71" s="294" t="s">
        <v>165</v>
      </c>
      <c r="I71" s="295" t="s">
        <v>182</v>
      </c>
      <c r="J71" s="250"/>
      <c r="K71" s="2" t="s">
        <v>210</v>
      </c>
      <c r="L71" s="303"/>
      <c r="M71" s="303"/>
      <c r="N71" s="303"/>
      <c r="O71" s="303"/>
      <c r="P71" s="303"/>
      <c r="Q71" s="303"/>
      <c r="R71" s="211"/>
      <c r="S71" s="211"/>
      <c r="T71" s="250" t="s">
        <v>409</v>
      </c>
    </row>
    <row r="72" spans="1:20" ht="32" x14ac:dyDescent="0.2">
      <c r="A72" s="291"/>
      <c r="B72" s="250"/>
      <c r="C72" s="291"/>
      <c r="D72" s="291"/>
      <c r="E72" s="250"/>
      <c r="F72" s="304"/>
      <c r="G72" s="302"/>
      <c r="H72" s="294"/>
      <c r="I72" s="295"/>
      <c r="J72" s="250"/>
      <c r="K72" s="2" t="s">
        <v>211</v>
      </c>
      <c r="L72" s="303"/>
      <c r="M72" s="303"/>
      <c r="N72" s="303"/>
      <c r="O72" s="303"/>
      <c r="P72" s="303"/>
      <c r="Q72" s="303"/>
      <c r="R72" s="211"/>
      <c r="S72" s="211"/>
      <c r="T72" s="250"/>
    </row>
    <row r="73" spans="1:20" ht="16" x14ac:dyDescent="0.2">
      <c r="A73" s="291"/>
      <c r="B73" s="250"/>
      <c r="C73" s="291"/>
      <c r="D73" s="291"/>
      <c r="E73" s="250"/>
      <c r="F73" s="130"/>
      <c r="G73" s="302"/>
      <c r="H73" s="294"/>
      <c r="I73" s="295"/>
      <c r="J73" s="250"/>
      <c r="K73" s="250" t="s">
        <v>265</v>
      </c>
      <c r="L73" s="303"/>
      <c r="M73" s="303"/>
      <c r="N73" s="303"/>
      <c r="O73" s="303"/>
      <c r="P73" s="303"/>
      <c r="Q73" s="303"/>
      <c r="R73" s="128" t="s">
        <v>319</v>
      </c>
      <c r="S73" s="128"/>
      <c r="T73" s="250"/>
    </row>
    <row r="74" spans="1:20" ht="32" x14ac:dyDescent="0.2">
      <c r="A74" s="291"/>
      <c r="B74" s="250"/>
      <c r="C74" s="291"/>
      <c r="D74" s="291"/>
      <c r="E74" s="250"/>
      <c r="F74" s="130"/>
      <c r="G74" s="302"/>
      <c r="H74" s="294"/>
      <c r="I74" s="295"/>
      <c r="J74" s="250"/>
      <c r="K74" s="250"/>
      <c r="L74" s="303"/>
      <c r="M74" s="303"/>
      <c r="N74" s="303"/>
      <c r="O74" s="303"/>
      <c r="P74" s="303"/>
      <c r="Q74" s="303"/>
      <c r="R74" s="128" t="s">
        <v>320</v>
      </c>
      <c r="S74" s="128"/>
      <c r="T74" s="250"/>
    </row>
    <row r="75" spans="1:20" ht="32" x14ac:dyDescent="0.2">
      <c r="A75" s="291"/>
      <c r="B75" s="250"/>
      <c r="C75" s="291"/>
      <c r="D75" s="291"/>
      <c r="E75" s="250"/>
      <c r="F75" s="130"/>
      <c r="G75" s="302"/>
      <c r="H75" s="294"/>
      <c r="I75" s="295"/>
      <c r="J75" s="250"/>
      <c r="K75" s="250"/>
      <c r="L75" s="303"/>
      <c r="M75" s="303"/>
      <c r="N75" s="303"/>
      <c r="O75" s="303"/>
      <c r="P75" s="303"/>
      <c r="Q75" s="303"/>
      <c r="R75" s="128" t="s">
        <v>345</v>
      </c>
      <c r="S75" s="128"/>
      <c r="T75" s="250"/>
    </row>
    <row r="76" spans="1:20" ht="48" x14ac:dyDescent="0.2">
      <c r="A76" s="291"/>
      <c r="B76" s="250"/>
      <c r="C76" s="291"/>
      <c r="D76" s="291"/>
      <c r="E76" s="250" t="s">
        <v>3</v>
      </c>
      <c r="F76" s="304" t="s">
        <v>3</v>
      </c>
      <c r="G76" s="302" t="s">
        <v>4</v>
      </c>
      <c r="H76" s="294" t="s">
        <v>164</v>
      </c>
      <c r="I76" s="295" t="s">
        <v>183</v>
      </c>
      <c r="J76" s="250"/>
      <c r="K76" s="2" t="s">
        <v>210</v>
      </c>
      <c r="L76" s="303"/>
      <c r="M76" s="303"/>
      <c r="N76" s="303"/>
      <c r="O76" s="303"/>
      <c r="P76" s="303"/>
      <c r="Q76" s="303"/>
      <c r="R76" s="211"/>
      <c r="S76" s="211"/>
      <c r="T76" s="250" t="s">
        <v>410</v>
      </c>
    </row>
    <row r="77" spans="1:20" ht="32" x14ac:dyDescent="0.2">
      <c r="A77" s="291"/>
      <c r="B77" s="250"/>
      <c r="C77" s="291"/>
      <c r="D77" s="291"/>
      <c r="E77" s="250"/>
      <c r="F77" s="304"/>
      <c r="G77" s="302"/>
      <c r="H77" s="294"/>
      <c r="I77" s="295"/>
      <c r="J77" s="250"/>
      <c r="K77" s="2" t="s">
        <v>211</v>
      </c>
      <c r="L77" s="303"/>
      <c r="M77" s="303"/>
      <c r="N77" s="303"/>
      <c r="O77" s="303"/>
      <c r="P77" s="303"/>
      <c r="Q77" s="303"/>
      <c r="R77" s="211"/>
      <c r="S77" s="211"/>
      <c r="T77" s="250"/>
    </row>
    <row r="78" spans="1:20" ht="16" x14ac:dyDescent="0.2">
      <c r="A78" s="291"/>
      <c r="B78" s="250"/>
      <c r="C78" s="291"/>
      <c r="D78" s="291"/>
      <c r="E78" s="250"/>
      <c r="F78" s="130"/>
      <c r="G78" s="302"/>
      <c r="H78" s="294"/>
      <c r="I78" s="295"/>
      <c r="J78" s="250"/>
      <c r="K78" s="250" t="s">
        <v>265</v>
      </c>
      <c r="L78" s="303"/>
      <c r="M78" s="303"/>
      <c r="N78" s="303"/>
      <c r="O78" s="303"/>
      <c r="P78" s="303"/>
      <c r="Q78" s="303"/>
      <c r="R78" s="128" t="s">
        <v>317</v>
      </c>
      <c r="S78" s="128"/>
      <c r="T78" s="250"/>
    </row>
    <row r="79" spans="1:20" ht="16" x14ac:dyDescent="0.2">
      <c r="A79" s="291"/>
      <c r="B79" s="250"/>
      <c r="C79" s="291"/>
      <c r="D79" s="291"/>
      <c r="E79" s="250"/>
      <c r="F79" s="130"/>
      <c r="G79" s="302"/>
      <c r="H79" s="294"/>
      <c r="I79" s="295"/>
      <c r="J79" s="250"/>
      <c r="K79" s="250"/>
      <c r="L79" s="303"/>
      <c r="M79" s="303"/>
      <c r="N79" s="303"/>
      <c r="O79" s="303"/>
      <c r="P79" s="303"/>
      <c r="Q79" s="303"/>
      <c r="R79" s="128" t="s">
        <v>318</v>
      </c>
      <c r="S79" s="128"/>
      <c r="T79" s="250"/>
    </row>
    <row r="80" spans="1:20" ht="43.25" customHeight="1" x14ac:dyDescent="0.2">
      <c r="A80" s="291"/>
      <c r="B80" s="250" t="s">
        <v>3</v>
      </c>
      <c r="C80" s="291"/>
      <c r="D80" s="250" t="s">
        <v>3</v>
      </c>
      <c r="E80" s="250" t="s">
        <v>3</v>
      </c>
      <c r="F80" s="304" t="s">
        <v>3</v>
      </c>
      <c r="G80" s="302" t="s">
        <v>4</v>
      </c>
      <c r="H80" s="294" t="s">
        <v>153</v>
      </c>
      <c r="I80" s="295" t="s">
        <v>184</v>
      </c>
      <c r="J80" s="250"/>
      <c r="K80" s="2" t="s">
        <v>210</v>
      </c>
      <c r="L80" s="211"/>
      <c r="M80" s="211"/>
      <c r="N80" s="303"/>
      <c r="O80" s="303"/>
      <c r="P80" s="211"/>
      <c r="Q80" s="211"/>
      <c r="R80" s="211"/>
      <c r="S80" s="211"/>
      <c r="T80" s="250" t="s">
        <v>390</v>
      </c>
    </row>
    <row r="81" spans="1:20" ht="32" x14ac:dyDescent="0.2">
      <c r="A81" s="291"/>
      <c r="B81" s="250"/>
      <c r="C81" s="291"/>
      <c r="D81" s="250"/>
      <c r="E81" s="250"/>
      <c r="F81" s="304"/>
      <c r="G81" s="302"/>
      <c r="H81" s="294"/>
      <c r="I81" s="295"/>
      <c r="J81" s="250"/>
      <c r="K81" s="2" t="s">
        <v>211</v>
      </c>
      <c r="L81" s="211"/>
      <c r="M81" s="211"/>
      <c r="N81" s="303"/>
      <c r="O81" s="303"/>
      <c r="P81" s="211"/>
      <c r="Q81" s="211"/>
      <c r="R81" s="211"/>
      <c r="S81" s="211"/>
      <c r="T81" s="250"/>
    </row>
    <row r="82" spans="1:20" ht="32" x14ac:dyDescent="0.2">
      <c r="A82" s="291"/>
      <c r="B82" s="250"/>
      <c r="C82" s="291"/>
      <c r="D82" s="250"/>
      <c r="E82" s="250"/>
      <c r="F82" s="130"/>
      <c r="G82" s="302"/>
      <c r="H82" s="294"/>
      <c r="I82" s="295"/>
      <c r="J82" s="250"/>
      <c r="K82" s="250" t="s">
        <v>265</v>
      </c>
      <c r="L82" s="139" t="s">
        <v>308</v>
      </c>
      <c r="M82" s="128"/>
      <c r="N82" s="303"/>
      <c r="O82" s="303"/>
      <c r="P82" s="128" t="s">
        <v>370</v>
      </c>
      <c r="Q82" s="128"/>
      <c r="R82" s="128" t="s">
        <v>370</v>
      </c>
      <c r="S82" s="128"/>
      <c r="T82" s="250"/>
    </row>
    <row r="83" spans="1:20" ht="16" x14ac:dyDescent="0.2">
      <c r="A83" s="291"/>
      <c r="B83" s="250"/>
      <c r="C83" s="291"/>
      <c r="D83" s="250"/>
      <c r="E83" s="250"/>
      <c r="F83" s="130"/>
      <c r="G83" s="302"/>
      <c r="H83" s="294"/>
      <c r="I83" s="295"/>
      <c r="J83" s="250"/>
      <c r="K83" s="250"/>
      <c r="L83" s="303"/>
      <c r="M83" s="303"/>
      <c r="N83" s="303"/>
      <c r="O83" s="303"/>
      <c r="P83" s="128" t="s">
        <v>371</v>
      </c>
      <c r="Q83" s="128"/>
      <c r="R83" s="303"/>
      <c r="S83" s="303"/>
      <c r="T83" s="250"/>
    </row>
    <row r="84" spans="1:20" ht="48" hidden="1" customHeight="1" x14ac:dyDescent="0.2">
      <c r="A84" s="291"/>
      <c r="B84" s="250" t="s">
        <v>3</v>
      </c>
      <c r="C84" s="250" t="s">
        <v>3</v>
      </c>
      <c r="D84" s="250" t="s">
        <v>3</v>
      </c>
      <c r="E84" s="292" t="s">
        <v>3</v>
      </c>
      <c r="F84" s="304"/>
      <c r="G84" s="293" t="s">
        <v>17</v>
      </c>
      <c r="H84" s="302" t="s">
        <v>70</v>
      </c>
      <c r="I84" s="295" t="s">
        <v>185</v>
      </c>
      <c r="J84" s="250"/>
      <c r="K84" s="2" t="s">
        <v>210</v>
      </c>
      <c r="L84" s="211"/>
      <c r="M84" s="211"/>
      <c r="N84" s="211"/>
      <c r="O84" s="211"/>
      <c r="P84" s="211"/>
      <c r="Q84" s="211"/>
      <c r="R84" s="211"/>
      <c r="S84" s="211"/>
      <c r="T84" s="250" t="s">
        <v>411</v>
      </c>
    </row>
    <row r="85" spans="1:20" ht="48" hidden="1" x14ac:dyDescent="0.2">
      <c r="A85" s="291"/>
      <c r="B85" s="250"/>
      <c r="C85" s="250"/>
      <c r="D85" s="250"/>
      <c r="E85" s="292"/>
      <c r="F85" s="304"/>
      <c r="G85" s="293"/>
      <c r="H85" s="302"/>
      <c r="I85" s="295"/>
      <c r="J85" s="250"/>
      <c r="K85" s="2" t="s">
        <v>212</v>
      </c>
      <c r="L85" s="211"/>
      <c r="M85" s="211"/>
      <c r="N85" s="211"/>
      <c r="O85" s="211"/>
      <c r="P85" s="211"/>
      <c r="Q85" s="211"/>
      <c r="R85" s="211"/>
      <c r="S85" s="211"/>
      <c r="T85" s="250"/>
    </row>
    <row r="86" spans="1:20" ht="48" hidden="1" x14ac:dyDescent="0.2">
      <c r="A86" s="291"/>
      <c r="B86" s="250"/>
      <c r="C86" s="250"/>
      <c r="D86" s="250"/>
      <c r="E86" s="292"/>
      <c r="F86" s="304"/>
      <c r="G86" s="293"/>
      <c r="H86" s="302"/>
      <c r="I86" s="295"/>
      <c r="J86" s="250"/>
      <c r="K86" s="2" t="s">
        <v>213</v>
      </c>
      <c r="L86" s="211"/>
      <c r="M86" s="211"/>
      <c r="N86" s="211"/>
      <c r="O86" s="211"/>
      <c r="P86" s="211"/>
      <c r="Q86" s="211"/>
      <c r="R86" s="211"/>
      <c r="S86" s="211"/>
      <c r="T86" s="250"/>
    </row>
    <row r="87" spans="1:20" ht="48" hidden="1" x14ac:dyDescent="0.2">
      <c r="A87" s="291"/>
      <c r="B87" s="250"/>
      <c r="C87" s="250"/>
      <c r="D87" s="250"/>
      <c r="E87" s="292"/>
      <c r="F87" s="304"/>
      <c r="G87" s="293"/>
      <c r="H87" s="302"/>
      <c r="I87" s="295"/>
      <c r="J87" s="250"/>
      <c r="K87" s="2" t="s">
        <v>214</v>
      </c>
      <c r="L87" s="211"/>
      <c r="M87" s="211"/>
      <c r="N87" s="211"/>
      <c r="O87" s="211"/>
      <c r="P87" s="211"/>
      <c r="Q87" s="211"/>
      <c r="R87" s="211"/>
      <c r="S87" s="211"/>
      <c r="T87" s="250"/>
    </row>
    <row r="88" spans="1:20" ht="16" hidden="1" x14ac:dyDescent="0.2">
      <c r="A88" s="291"/>
      <c r="B88" s="250"/>
      <c r="C88" s="250"/>
      <c r="D88" s="250"/>
      <c r="E88" s="292"/>
      <c r="F88" s="130"/>
      <c r="G88" s="293"/>
      <c r="H88" s="302"/>
      <c r="I88" s="295"/>
      <c r="J88" s="250"/>
      <c r="K88" s="250" t="s">
        <v>265</v>
      </c>
      <c r="L88" s="128" t="s">
        <v>309</v>
      </c>
      <c r="M88" s="128"/>
      <c r="N88" s="128" t="s">
        <v>309</v>
      </c>
      <c r="O88" s="128"/>
      <c r="P88" s="128" t="s">
        <v>309</v>
      </c>
      <c r="Q88" s="128"/>
      <c r="R88" s="128" t="s">
        <v>309</v>
      </c>
      <c r="S88" s="128"/>
      <c r="T88" s="250"/>
    </row>
    <row r="89" spans="1:20" ht="16" hidden="1" x14ac:dyDescent="0.2">
      <c r="A89" s="291"/>
      <c r="B89" s="250"/>
      <c r="C89" s="250"/>
      <c r="D89" s="250"/>
      <c r="E89" s="292"/>
      <c r="F89" s="130"/>
      <c r="G89" s="293"/>
      <c r="H89" s="302"/>
      <c r="I89" s="295"/>
      <c r="J89" s="250"/>
      <c r="K89" s="250"/>
      <c r="L89" s="128" t="s">
        <v>310</v>
      </c>
      <c r="M89" s="128"/>
      <c r="N89" s="128" t="s">
        <v>310</v>
      </c>
      <c r="O89" s="128"/>
      <c r="P89" s="128" t="s">
        <v>310</v>
      </c>
      <c r="Q89" s="128"/>
      <c r="R89" s="128" t="s">
        <v>310</v>
      </c>
      <c r="S89" s="128"/>
      <c r="T89" s="250"/>
    </row>
    <row r="90" spans="1:20" ht="32" hidden="1" x14ac:dyDescent="0.2">
      <c r="A90" s="291"/>
      <c r="B90" s="250"/>
      <c r="C90" s="250"/>
      <c r="D90" s="250"/>
      <c r="E90" s="292"/>
      <c r="F90" s="130"/>
      <c r="G90" s="293"/>
      <c r="H90" s="302"/>
      <c r="I90" s="295"/>
      <c r="J90" s="250"/>
      <c r="K90" s="250"/>
      <c r="L90" s="128" t="s">
        <v>311</v>
      </c>
      <c r="M90" s="128"/>
      <c r="N90" s="128" t="s">
        <v>311</v>
      </c>
      <c r="O90" s="128"/>
      <c r="P90" s="128" t="s">
        <v>311</v>
      </c>
      <c r="Q90" s="128"/>
      <c r="R90" s="128" t="s">
        <v>311</v>
      </c>
      <c r="S90" s="128"/>
      <c r="T90" s="250"/>
    </row>
    <row r="91" spans="1:20" ht="32" hidden="1" x14ac:dyDescent="0.2">
      <c r="A91" s="291"/>
      <c r="B91" s="250"/>
      <c r="C91" s="250"/>
      <c r="D91" s="250"/>
      <c r="E91" s="292"/>
      <c r="F91" s="130"/>
      <c r="G91" s="293"/>
      <c r="H91" s="302"/>
      <c r="I91" s="295"/>
      <c r="J91" s="250"/>
      <c r="K91" s="250"/>
      <c r="L91" s="303"/>
      <c r="M91" s="303"/>
      <c r="N91" s="128" t="s">
        <v>372</v>
      </c>
      <c r="O91" s="128"/>
      <c r="P91" s="303"/>
      <c r="Q91" s="303"/>
      <c r="R91" s="303"/>
      <c r="S91" s="303"/>
      <c r="T91" s="250"/>
    </row>
    <row r="92" spans="1:20" ht="48" hidden="1" customHeight="1" x14ac:dyDescent="0.2">
      <c r="A92" s="291"/>
      <c r="B92" s="250" t="s">
        <v>3</v>
      </c>
      <c r="C92" s="250" t="s">
        <v>3</v>
      </c>
      <c r="D92" s="250" t="s">
        <v>3</v>
      </c>
      <c r="E92" s="292" t="s">
        <v>3</v>
      </c>
      <c r="F92" s="304"/>
      <c r="G92" s="293" t="s">
        <v>17</v>
      </c>
      <c r="H92" s="302" t="s">
        <v>58</v>
      </c>
      <c r="I92" s="295" t="s">
        <v>275</v>
      </c>
      <c r="J92" s="250"/>
      <c r="K92" s="2" t="s">
        <v>210</v>
      </c>
      <c r="L92" s="211"/>
      <c r="M92" s="211"/>
      <c r="N92" s="211"/>
      <c r="O92" s="211"/>
      <c r="P92" s="211"/>
      <c r="Q92" s="211"/>
      <c r="R92" s="211"/>
      <c r="S92" s="211"/>
      <c r="T92" s="250" t="s">
        <v>412</v>
      </c>
    </row>
    <row r="93" spans="1:20" ht="32" hidden="1" x14ac:dyDescent="0.2">
      <c r="A93" s="291"/>
      <c r="B93" s="250"/>
      <c r="C93" s="250"/>
      <c r="D93" s="250"/>
      <c r="E93" s="292"/>
      <c r="F93" s="304"/>
      <c r="G93" s="293"/>
      <c r="H93" s="302"/>
      <c r="I93" s="295"/>
      <c r="J93" s="250"/>
      <c r="K93" s="2" t="s">
        <v>211</v>
      </c>
      <c r="L93" s="211"/>
      <c r="M93" s="211"/>
      <c r="N93" s="211"/>
      <c r="O93" s="211"/>
      <c r="P93" s="211"/>
      <c r="Q93" s="211"/>
      <c r="R93" s="211"/>
      <c r="S93" s="211"/>
      <c r="T93" s="250"/>
    </row>
    <row r="94" spans="1:20" ht="32" hidden="1" x14ac:dyDescent="0.2">
      <c r="A94" s="291"/>
      <c r="B94" s="250"/>
      <c r="C94" s="250"/>
      <c r="D94" s="250"/>
      <c r="E94" s="292"/>
      <c r="F94" s="130"/>
      <c r="G94" s="293"/>
      <c r="H94" s="302"/>
      <c r="I94" s="295"/>
      <c r="J94" s="250"/>
      <c r="K94" s="250" t="s">
        <v>265</v>
      </c>
      <c r="L94" s="128" t="s">
        <v>382</v>
      </c>
      <c r="M94" s="128"/>
      <c r="N94" s="128" t="s">
        <v>382</v>
      </c>
      <c r="O94" s="128"/>
      <c r="P94" s="128" t="s">
        <v>382</v>
      </c>
      <c r="Q94" s="128"/>
      <c r="R94" s="128" t="s">
        <v>382</v>
      </c>
      <c r="S94" s="128"/>
      <c r="T94" s="250"/>
    </row>
    <row r="95" spans="1:20" ht="16" hidden="1" x14ac:dyDescent="0.2">
      <c r="A95" s="291"/>
      <c r="B95" s="250"/>
      <c r="C95" s="250"/>
      <c r="D95" s="250"/>
      <c r="E95" s="292"/>
      <c r="F95" s="130"/>
      <c r="G95" s="293"/>
      <c r="H95" s="302"/>
      <c r="I95" s="295"/>
      <c r="J95" s="250"/>
      <c r="K95" s="250"/>
      <c r="L95" s="128" t="s">
        <v>383</v>
      </c>
      <c r="M95" s="128"/>
      <c r="N95" s="128" t="s">
        <v>383</v>
      </c>
      <c r="O95" s="128"/>
      <c r="P95" s="128" t="s">
        <v>383</v>
      </c>
      <c r="Q95" s="128"/>
      <c r="R95" s="128" t="s">
        <v>383</v>
      </c>
      <c r="S95" s="128"/>
      <c r="T95" s="250"/>
    </row>
    <row r="96" spans="1:20" ht="16" hidden="1" x14ac:dyDescent="0.2">
      <c r="A96" s="291"/>
      <c r="B96" s="250"/>
      <c r="C96" s="250"/>
      <c r="D96" s="250"/>
      <c r="E96" s="292"/>
      <c r="F96" s="130"/>
      <c r="G96" s="293"/>
      <c r="H96" s="302"/>
      <c r="I96" s="295"/>
      <c r="J96" s="250"/>
      <c r="K96" s="250"/>
      <c r="L96" s="303"/>
      <c r="M96" s="303"/>
      <c r="N96" s="303"/>
      <c r="O96" s="303"/>
      <c r="P96" s="128" t="s">
        <v>373</v>
      </c>
      <c r="Q96" s="128"/>
      <c r="R96" s="303"/>
      <c r="S96" s="303"/>
      <c r="T96" s="250"/>
    </row>
    <row r="97" spans="1:20" ht="48" hidden="1" x14ac:dyDescent="0.2">
      <c r="A97" s="291"/>
      <c r="B97" s="250" t="s">
        <v>3</v>
      </c>
      <c r="C97" s="250" t="s">
        <v>3</v>
      </c>
      <c r="D97" s="250" t="s">
        <v>3</v>
      </c>
      <c r="E97" s="292" t="s">
        <v>3</v>
      </c>
      <c r="F97" s="304"/>
      <c r="G97" s="293" t="s">
        <v>17</v>
      </c>
      <c r="H97" s="302" t="s">
        <v>154</v>
      </c>
      <c r="I97" s="295" t="s">
        <v>186</v>
      </c>
      <c r="J97" s="250"/>
      <c r="K97" s="2" t="s">
        <v>210</v>
      </c>
      <c r="L97" s="211"/>
      <c r="M97" s="211"/>
      <c r="N97" s="211"/>
      <c r="O97" s="211"/>
      <c r="P97" s="211"/>
      <c r="Q97" s="211"/>
      <c r="R97" s="211"/>
      <c r="S97" s="211"/>
      <c r="T97" s="250" t="s">
        <v>413</v>
      </c>
    </row>
    <row r="98" spans="1:20" ht="32" hidden="1" x14ac:dyDescent="0.2">
      <c r="A98" s="291"/>
      <c r="B98" s="250"/>
      <c r="C98" s="250"/>
      <c r="D98" s="250"/>
      <c r="E98" s="292"/>
      <c r="F98" s="304"/>
      <c r="G98" s="293"/>
      <c r="H98" s="302"/>
      <c r="I98" s="295"/>
      <c r="J98" s="250"/>
      <c r="K98" s="2" t="s">
        <v>211</v>
      </c>
      <c r="L98" s="211"/>
      <c r="M98" s="211"/>
      <c r="N98" s="211"/>
      <c r="O98" s="211"/>
      <c r="P98" s="211"/>
      <c r="Q98" s="211"/>
      <c r="R98" s="211"/>
      <c r="S98" s="211"/>
      <c r="T98" s="250"/>
    </row>
    <row r="99" spans="1:20" ht="16" hidden="1" x14ac:dyDescent="0.2">
      <c r="A99" s="291"/>
      <c r="B99" s="250"/>
      <c r="C99" s="250"/>
      <c r="D99" s="250"/>
      <c r="E99" s="292"/>
      <c r="F99" s="130"/>
      <c r="G99" s="293"/>
      <c r="H99" s="302"/>
      <c r="I99" s="295"/>
      <c r="J99" s="250"/>
      <c r="K99" s="250" t="s">
        <v>265</v>
      </c>
      <c r="L99" s="128" t="s">
        <v>312</v>
      </c>
      <c r="M99" s="128"/>
      <c r="N99" s="128" t="s">
        <v>312</v>
      </c>
      <c r="O99" s="128"/>
      <c r="P99" s="128" t="s">
        <v>312</v>
      </c>
      <c r="Q99" s="128"/>
      <c r="R99" s="128" t="s">
        <v>312</v>
      </c>
      <c r="S99" s="128"/>
      <c r="T99" s="250"/>
    </row>
    <row r="100" spans="1:20" ht="16" hidden="1" x14ac:dyDescent="0.2">
      <c r="A100" s="291"/>
      <c r="B100" s="250"/>
      <c r="C100" s="250"/>
      <c r="D100" s="250"/>
      <c r="E100" s="292"/>
      <c r="F100" s="130"/>
      <c r="G100" s="293"/>
      <c r="H100" s="302"/>
      <c r="I100" s="295"/>
      <c r="J100" s="250"/>
      <c r="K100" s="250"/>
      <c r="L100" s="128" t="s">
        <v>313</v>
      </c>
      <c r="M100" s="128"/>
      <c r="N100" s="128" t="s">
        <v>313</v>
      </c>
      <c r="O100" s="128"/>
      <c r="P100" s="128" t="s">
        <v>313</v>
      </c>
      <c r="Q100" s="128"/>
      <c r="R100" s="128" t="s">
        <v>313</v>
      </c>
      <c r="S100" s="128"/>
      <c r="T100" s="250"/>
    </row>
    <row r="101" spans="1:20" ht="16" hidden="1" x14ac:dyDescent="0.2">
      <c r="A101" s="291"/>
      <c r="B101" s="250"/>
      <c r="C101" s="250"/>
      <c r="D101" s="250"/>
      <c r="E101" s="292"/>
      <c r="F101" s="130"/>
      <c r="G101" s="293"/>
      <c r="H101" s="302"/>
      <c r="I101" s="295"/>
      <c r="J101" s="250"/>
      <c r="K101" s="250"/>
      <c r="L101" s="128" t="s">
        <v>314</v>
      </c>
      <c r="M101" s="128"/>
      <c r="N101" s="128" t="s">
        <v>314</v>
      </c>
      <c r="O101" s="128"/>
      <c r="P101" s="128" t="s">
        <v>314</v>
      </c>
      <c r="Q101" s="128"/>
      <c r="R101" s="128" t="s">
        <v>314</v>
      </c>
      <c r="S101" s="128"/>
      <c r="T101" s="250"/>
    </row>
    <row r="102" spans="1:20" ht="32" hidden="1" x14ac:dyDescent="0.2">
      <c r="A102" s="291"/>
      <c r="B102" s="250"/>
      <c r="C102" s="250"/>
      <c r="D102" s="250"/>
      <c r="E102" s="292"/>
      <c r="F102" s="130"/>
      <c r="G102" s="293"/>
      <c r="H102" s="302"/>
      <c r="I102" s="295"/>
      <c r="J102" s="250"/>
      <c r="K102" s="250"/>
      <c r="L102" s="128" t="s">
        <v>315</v>
      </c>
      <c r="M102" s="128"/>
      <c r="N102" s="128" t="s">
        <v>316</v>
      </c>
      <c r="O102" s="128"/>
      <c r="P102" s="128" t="s">
        <v>316</v>
      </c>
      <c r="Q102" s="128"/>
      <c r="R102" s="128" t="s">
        <v>315</v>
      </c>
      <c r="S102" s="128"/>
      <c r="T102" s="250"/>
    </row>
    <row r="103" spans="1:20" ht="16" hidden="1" x14ac:dyDescent="0.2">
      <c r="A103" s="291"/>
      <c r="B103" s="250"/>
      <c r="C103" s="250"/>
      <c r="D103" s="250"/>
      <c r="E103" s="292"/>
      <c r="F103" s="130"/>
      <c r="G103" s="293"/>
      <c r="H103" s="302"/>
      <c r="I103" s="295"/>
      <c r="J103" s="250"/>
      <c r="K103" s="250"/>
      <c r="L103" s="128" t="s">
        <v>316</v>
      </c>
      <c r="M103" s="128"/>
      <c r="N103" s="303"/>
      <c r="O103" s="303"/>
      <c r="P103" s="303"/>
      <c r="Q103" s="303"/>
      <c r="R103" s="128" t="s">
        <v>316</v>
      </c>
      <c r="S103" s="128"/>
      <c r="T103" s="250"/>
    </row>
    <row r="104" spans="1:20" ht="48" x14ac:dyDescent="0.2">
      <c r="A104" s="291"/>
      <c r="B104" s="250"/>
      <c r="C104" s="291"/>
      <c r="D104" s="291"/>
      <c r="E104" s="292" t="s">
        <v>3</v>
      </c>
      <c r="F104" s="304" t="s">
        <v>3</v>
      </c>
      <c r="G104" s="302" t="s">
        <v>5</v>
      </c>
      <c r="H104" s="294" t="s">
        <v>166</v>
      </c>
      <c r="I104" s="295" t="s">
        <v>346</v>
      </c>
      <c r="J104" s="250"/>
      <c r="K104" s="2" t="s">
        <v>210</v>
      </c>
      <c r="L104" s="303"/>
      <c r="M104" s="303"/>
      <c r="N104" s="303"/>
      <c r="O104" s="303"/>
      <c r="P104" s="303"/>
      <c r="Q104" s="303"/>
      <c r="R104" s="128"/>
      <c r="S104" s="128"/>
      <c r="T104" s="250" t="s">
        <v>410</v>
      </c>
    </row>
    <row r="105" spans="1:20" ht="32" x14ac:dyDescent="0.2">
      <c r="A105" s="291"/>
      <c r="B105" s="250"/>
      <c r="C105" s="291"/>
      <c r="D105" s="291"/>
      <c r="E105" s="292"/>
      <c r="F105" s="304"/>
      <c r="G105" s="302"/>
      <c r="H105" s="294"/>
      <c r="I105" s="295"/>
      <c r="J105" s="250"/>
      <c r="K105" s="2" t="s">
        <v>211</v>
      </c>
      <c r="L105" s="303"/>
      <c r="M105" s="303"/>
      <c r="N105" s="303"/>
      <c r="O105" s="303"/>
      <c r="P105" s="303"/>
      <c r="Q105" s="303"/>
      <c r="R105" s="128"/>
      <c r="S105" s="128"/>
      <c r="T105" s="250"/>
    </row>
    <row r="106" spans="1:20" ht="32" x14ac:dyDescent="0.2">
      <c r="A106" s="291"/>
      <c r="B106" s="250"/>
      <c r="C106" s="291"/>
      <c r="D106" s="291"/>
      <c r="E106" s="292"/>
      <c r="F106" s="130"/>
      <c r="G106" s="302"/>
      <c r="H106" s="294"/>
      <c r="I106" s="295"/>
      <c r="J106" s="250"/>
      <c r="K106" s="250" t="s">
        <v>265</v>
      </c>
      <c r="L106" s="303"/>
      <c r="M106" s="303"/>
      <c r="N106" s="303"/>
      <c r="O106" s="303"/>
      <c r="P106" s="303"/>
      <c r="Q106" s="303"/>
      <c r="R106" s="128" t="s">
        <v>339</v>
      </c>
      <c r="S106" s="128"/>
      <c r="T106" s="250"/>
    </row>
    <row r="107" spans="1:20" ht="16" x14ac:dyDescent="0.2">
      <c r="A107" s="291"/>
      <c r="B107" s="250"/>
      <c r="C107" s="291"/>
      <c r="D107" s="291"/>
      <c r="E107" s="292"/>
      <c r="F107" s="130"/>
      <c r="G107" s="302"/>
      <c r="H107" s="294"/>
      <c r="I107" s="295"/>
      <c r="J107" s="250"/>
      <c r="K107" s="250"/>
      <c r="L107" s="303"/>
      <c r="M107" s="303"/>
      <c r="N107" s="303"/>
      <c r="O107" s="303"/>
      <c r="P107" s="303"/>
      <c r="Q107" s="303"/>
      <c r="R107" s="128" t="s">
        <v>340</v>
      </c>
      <c r="S107" s="128"/>
      <c r="T107" s="250"/>
    </row>
    <row r="108" spans="1:20" ht="16" x14ac:dyDescent="0.2">
      <c r="A108" s="291"/>
      <c r="B108" s="250"/>
      <c r="C108" s="291"/>
      <c r="D108" s="291"/>
      <c r="E108" s="292"/>
      <c r="F108" s="130"/>
      <c r="G108" s="302"/>
      <c r="H108" s="294"/>
      <c r="I108" s="295"/>
      <c r="J108" s="250"/>
      <c r="K108" s="250"/>
      <c r="L108" s="303"/>
      <c r="M108" s="303"/>
      <c r="N108" s="303"/>
      <c r="O108" s="303"/>
      <c r="P108" s="303"/>
      <c r="Q108" s="303"/>
      <c r="R108" s="128" t="s">
        <v>341</v>
      </c>
      <c r="S108" s="128"/>
      <c r="T108" s="250"/>
    </row>
    <row r="109" spans="1:20" ht="16" x14ac:dyDescent="0.2">
      <c r="A109" s="291"/>
      <c r="B109" s="250"/>
      <c r="C109" s="291"/>
      <c r="D109" s="291"/>
      <c r="E109" s="292"/>
      <c r="F109" s="130"/>
      <c r="G109" s="302"/>
      <c r="H109" s="294"/>
      <c r="I109" s="295"/>
      <c r="J109" s="250"/>
      <c r="K109" s="250"/>
      <c r="L109" s="303"/>
      <c r="M109" s="303"/>
      <c r="N109" s="303"/>
      <c r="O109" s="303"/>
      <c r="P109" s="303"/>
      <c r="Q109" s="303"/>
      <c r="R109" s="128" t="s">
        <v>342</v>
      </c>
      <c r="S109" s="128"/>
      <c r="T109" s="250"/>
    </row>
    <row r="110" spans="1:20" ht="16" x14ac:dyDescent="0.2">
      <c r="A110" s="291"/>
      <c r="B110" s="250"/>
      <c r="C110" s="291"/>
      <c r="D110" s="291"/>
      <c r="E110" s="292"/>
      <c r="F110" s="130"/>
      <c r="G110" s="302"/>
      <c r="H110" s="294"/>
      <c r="I110" s="295"/>
      <c r="J110" s="250"/>
      <c r="K110" s="250"/>
      <c r="L110" s="303"/>
      <c r="M110" s="303"/>
      <c r="N110" s="303"/>
      <c r="O110" s="303"/>
      <c r="P110" s="303"/>
      <c r="Q110" s="303"/>
      <c r="R110" s="128" t="s">
        <v>343</v>
      </c>
      <c r="S110" s="128"/>
      <c r="T110" s="250"/>
    </row>
    <row r="111" spans="1:20" ht="54.5" hidden="1" customHeight="1" x14ac:dyDescent="0.2">
      <c r="A111" s="291"/>
      <c r="B111" s="250" t="s">
        <v>3</v>
      </c>
      <c r="C111" s="250" t="s">
        <v>3</v>
      </c>
      <c r="D111" s="250" t="s">
        <v>3</v>
      </c>
      <c r="E111" s="292" t="s">
        <v>3</v>
      </c>
      <c r="F111" s="304" t="s">
        <v>3</v>
      </c>
      <c r="G111" s="293" t="s">
        <v>18</v>
      </c>
      <c r="H111" s="294" t="s">
        <v>155</v>
      </c>
      <c r="I111" s="295" t="s">
        <v>261</v>
      </c>
      <c r="J111" s="250"/>
      <c r="K111" s="2" t="s">
        <v>210</v>
      </c>
      <c r="L111" s="211"/>
      <c r="M111" s="211"/>
      <c r="N111" s="211"/>
      <c r="O111" s="211"/>
      <c r="P111" s="211"/>
      <c r="Q111" s="211"/>
      <c r="R111" s="211"/>
      <c r="S111" s="211"/>
      <c r="T111" s="250" t="s">
        <v>414</v>
      </c>
    </row>
    <row r="112" spans="1:20" ht="32" hidden="1" x14ac:dyDescent="0.2">
      <c r="A112" s="291"/>
      <c r="B112" s="250"/>
      <c r="C112" s="250"/>
      <c r="D112" s="250"/>
      <c r="E112" s="292"/>
      <c r="F112" s="304"/>
      <c r="G112" s="293"/>
      <c r="H112" s="294"/>
      <c r="I112" s="295"/>
      <c r="J112" s="250"/>
      <c r="K112" s="2" t="s">
        <v>211</v>
      </c>
      <c r="L112" s="211"/>
      <c r="M112" s="211"/>
      <c r="N112" s="211"/>
      <c r="O112" s="211"/>
      <c r="P112" s="211"/>
      <c r="Q112" s="211"/>
      <c r="R112" s="211"/>
      <c r="S112" s="211"/>
      <c r="T112" s="250"/>
    </row>
    <row r="113" spans="1:20" ht="16" hidden="1" x14ac:dyDescent="0.2">
      <c r="A113" s="291"/>
      <c r="B113" s="250"/>
      <c r="C113" s="250"/>
      <c r="D113" s="250"/>
      <c r="E113" s="292"/>
      <c r="F113" s="130"/>
      <c r="G113" s="293"/>
      <c r="H113" s="294"/>
      <c r="I113" s="295"/>
      <c r="J113" s="250"/>
      <c r="K113" s="250" t="s">
        <v>265</v>
      </c>
      <c r="L113" s="128" t="s">
        <v>321</v>
      </c>
      <c r="M113" s="128"/>
      <c r="N113" s="128" t="s">
        <v>321</v>
      </c>
      <c r="O113" s="128"/>
      <c r="P113" s="128" t="s">
        <v>321</v>
      </c>
      <c r="Q113" s="128"/>
      <c r="R113" s="128" t="s">
        <v>321</v>
      </c>
      <c r="S113" s="128"/>
      <c r="T113" s="250"/>
    </row>
    <row r="114" spans="1:20" ht="16" hidden="1" x14ac:dyDescent="0.2">
      <c r="A114" s="291"/>
      <c r="B114" s="250"/>
      <c r="C114" s="250"/>
      <c r="D114" s="250"/>
      <c r="E114" s="292"/>
      <c r="F114" s="130"/>
      <c r="G114" s="293"/>
      <c r="H114" s="294"/>
      <c r="I114" s="295"/>
      <c r="J114" s="250"/>
      <c r="K114" s="250"/>
      <c r="L114" s="128" t="s">
        <v>322</v>
      </c>
      <c r="M114" s="128"/>
      <c r="N114" s="128" t="s">
        <v>322</v>
      </c>
      <c r="O114" s="128"/>
      <c r="P114" s="128" t="s">
        <v>322</v>
      </c>
      <c r="Q114" s="128"/>
      <c r="R114" s="128" t="s">
        <v>322</v>
      </c>
      <c r="S114" s="128"/>
      <c r="T114" s="250"/>
    </row>
    <row r="115" spans="1:20" ht="32" hidden="1" x14ac:dyDescent="0.2">
      <c r="A115" s="291"/>
      <c r="B115" s="250"/>
      <c r="C115" s="250"/>
      <c r="D115" s="250"/>
      <c r="E115" s="292"/>
      <c r="F115" s="130"/>
      <c r="G115" s="293"/>
      <c r="H115" s="294"/>
      <c r="I115" s="295"/>
      <c r="J115" s="250"/>
      <c r="K115" s="250"/>
      <c r="L115" s="128" t="s">
        <v>323</v>
      </c>
      <c r="M115" s="128"/>
      <c r="N115" s="128" t="s">
        <v>323</v>
      </c>
      <c r="O115" s="128"/>
      <c r="P115" s="128" t="s">
        <v>374</v>
      </c>
      <c r="Q115" s="128"/>
      <c r="R115" s="128" t="s">
        <v>323</v>
      </c>
      <c r="S115" s="128"/>
      <c r="T115" s="250"/>
    </row>
    <row r="116" spans="1:20" ht="48" customHeight="1" x14ac:dyDescent="0.2">
      <c r="A116" s="291"/>
      <c r="B116" s="250" t="s">
        <v>3</v>
      </c>
      <c r="C116" s="250" t="s">
        <v>3</v>
      </c>
      <c r="D116" s="250" t="s">
        <v>3</v>
      </c>
      <c r="E116" s="292" t="s">
        <v>3</v>
      </c>
      <c r="F116" s="304" t="s">
        <v>3</v>
      </c>
      <c r="G116" s="293" t="s">
        <v>18</v>
      </c>
      <c r="H116" s="294" t="s">
        <v>156</v>
      </c>
      <c r="I116" s="295" t="s">
        <v>350</v>
      </c>
      <c r="J116" s="250"/>
      <c r="K116" s="2" t="s">
        <v>210</v>
      </c>
      <c r="L116" s="211"/>
      <c r="M116" s="211"/>
      <c r="N116" s="211"/>
      <c r="O116" s="211"/>
      <c r="P116" s="211"/>
      <c r="Q116" s="211"/>
      <c r="R116" s="211"/>
      <c r="S116" s="211"/>
      <c r="T116" s="250" t="s">
        <v>415</v>
      </c>
    </row>
    <row r="117" spans="1:20" ht="32" x14ac:dyDescent="0.2">
      <c r="A117" s="291"/>
      <c r="B117" s="250"/>
      <c r="C117" s="250"/>
      <c r="D117" s="250"/>
      <c r="E117" s="292"/>
      <c r="F117" s="304"/>
      <c r="G117" s="293"/>
      <c r="H117" s="294"/>
      <c r="I117" s="295"/>
      <c r="J117" s="250"/>
      <c r="K117" s="2" t="s">
        <v>211</v>
      </c>
      <c r="L117" s="211"/>
      <c r="M117" s="211"/>
      <c r="N117" s="211"/>
      <c r="O117" s="211"/>
      <c r="P117" s="211"/>
      <c r="Q117" s="211"/>
      <c r="R117" s="211"/>
      <c r="S117" s="211"/>
      <c r="T117" s="250"/>
    </row>
    <row r="118" spans="1:20" ht="16" x14ac:dyDescent="0.2">
      <c r="A118" s="291"/>
      <c r="B118" s="250"/>
      <c r="C118" s="250"/>
      <c r="D118" s="250"/>
      <c r="E118" s="292"/>
      <c r="F118" s="130"/>
      <c r="G118" s="293"/>
      <c r="H118" s="294"/>
      <c r="I118" s="295"/>
      <c r="J118" s="250"/>
      <c r="K118" s="250" t="s">
        <v>265</v>
      </c>
      <c r="L118" s="128" t="s">
        <v>324</v>
      </c>
      <c r="M118" s="128"/>
      <c r="N118" s="128" t="s">
        <v>324</v>
      </c>
      <c r="O118" s="128"/>
      <c r="P118" s="128" t="s">
        <v>324</v>
      </c>
      <c r="Q118" s="128"/>
      <c r="R118" s="128" t="s">
        <v>324</v>
      </c>
      <c r="S118" s="128"/>
      <c r="T118" s="250"/>
    </row>
    <row r="119" spans="1:20" ht="16" x14ac:dyDescent="0.2">
      <c r="A119" s="291"/>
      <c r="B119" s="250"/>
      <c r="C119" s="250"/>
      <c r="D119" s="250"/>
      <c r="E119" s="292"/>
      <c r="F119" s="130"/>
      <c r="G119" s="293"/>
      <c r="H119" s="294"/>
      <c r="I119" s="295"/>
      <c r="J119" s="250"/>
      <c r="K119" s="250"/>
      <c r="L119" s="128" t="s">
        <v>325</v>
      </c>
      <c r="M119" s="128"/>
      <c r="N119" s="128" t="s">
        <v>325</v>
      </c>
      <c r="O119" s="128"/>
      <c r="P119" s="128" t="s">
        <v>325</v>
      </c>
      <c r="Q119" s="128"/>
      <c r="R119" s="128" t="s">
        <v>325</v>
      </c>
      <c r="S119" s="128"/>
      <c r="T119" s="250"/>
    </row>
    <row r="120" spans="1:20" ht="43.25" hidden="1" customHeight="1" x14ac:dyDescent="0.2">
      <c r="A120" s="291"/>
      <c r="B120" s="250" t="s">
        <v>3</v>
      </c>
      <c r="C120" s="250" t="s">
        <v>3</v>
      </c>
      <c r="D120" s="250" t="s">
        <v>3</v>
      </c>
      <c r="E120" s="292" t="s">
        <v>3</v>
      </c>
      <c r="F120" s="304"/>
      <c r="G120" s="293" t="s">
        <v>19</v>
      </c>
      <c r="H120" s="302" t="s">
        <v>59</v>
      </c>
      <c r="I120" s="295" t="s">
        <v>262</v>
      </c>
      <c r="J120" s="250"/>
      <c r="K120" s="2" t="s">
        <v>210</v>
      </c>
      <c r="L120" s="211"/>
      <c r="M120" s="211"/>
      <c r="N120" s="211"/>
      <c r="O120" s="211"/>
      <c r="P120" s="211"/>
      <c r="Q120" s="211"/>
      <c r="R120" s="211"/>
      <c r="S120" s="211"/>
      <c r="T120" s="250" t="s">
        <v>410</v>
      </c>
    </row>
    <row r="121" spans="1:20" ht="48" hidden="1" x14ac:dyDescent="0.2">
      <c r="A121" s="291"/>
      <c r="B121" s="250"/>
      <c r="C121" s="250"/>
      <c r="D121" s="250"/>
      <c r="E121" s="292"/>
      <c r="F121" s="304"/>
      <c r="G121" s="293"/>
      <c r="H121" s="302"/>
      <c r="I121" s="295"/>
      <c r="J121" s="250"/>
      <c r="K121" s="2" t="s">
        <v>215</v>
      </c>
      <c r="L121" s="211"/>
      <c r="M121" s="211"/>
      <c r="N121" s="211"/>
      <c r="O121" s="211"/>
      <c r="P121" s="211"/>
      <c r="Q121" s="211"/>
      <c r="R121" s="211"/>
      <c r="S121" s="211"/>
      <c r="T121" s="250"/>
    </row>
    <row r="122" spans="1:20" ht="64" hidden="1" x14ac:dyDescent="0.2">
      <c r="A122" s="291"/>
      <c r="B122" s="250"/>
      <c r="C122" s="250"/>
      <c r="D122" s="250"/>
      <c r="E122" s="292"/>
      <c r="F122" s="304"/>
      <c r="G122" s="293"/>
      <c r="H122" s="302"/>
      <c r="I122" s="295"/>
      <c r="J122" s="250"/>
      <c r="K122" s="2" t="s">
        <v>216</v>
      </c>
      <c r="L122" s="211"/>
      <c r="M122" s="211"/>
      <c r="N122" s="211"/>
      <c r="O122" s="211"/>
      <c r="P122" s="211"/>
      <c r="Q122" s="211"/>
      <c r="R122" s="211"/>
      <c r="S122" s="211"/>
      <c r="T122" s="250"/>
    </row>
    <row r="123" spans="1:20" ht="16" hidden="1" x14ac:dyDescent="0.2">
      <c r="A123" s="291"/>
      <c r="B123" s="250"/>
      <c r="C123" s="250"/>
      <c r="D123" s="250"/>
      <c r="E123" s="292"/>
      <c r="F123" s="130"/>
      <c r="G123" s="293"/>
      <c r="H123" s="302"/>
      <c r="I123" s="295"/>
      <c r="J123" s="250"/>
      <c r="K123" s="250" t="s">
        <v>265</v>
      </c>
      <c r="L123" s="128" t="s">
        <v>326</v>
      </c>
      <c r="M123" s="128"/>
      <c r="N123" s="128" t="s">
        <v>326</v>
      </c>
      <c r="O123" s="128"/>
      <c r="P123" s="128" t="s">
        <v>326</v>
      </c>
      <c r="Q123" s="128"/>
      <c r="R123" s="128" t="s">
        <v>326</v>
      </c>
      <c r="S123" s="128"/>
      <c r="T123" s="250"/>
    </row>
    <row r="124" spans="1:20" ht="16" hidden="1" x14ac:dyDescent="0.2">
      <c r="A124" s="291"/>
      <c r="B124" s="250"/>
      <c r="C124" s="250"/>
      <c r="D124" s="250"/>
      <c r="E124" s="292"/>
      <c r="F124" s="130"/>
      <c r="G124" s="293"/>
      <c r="H124" s="302"/>
      <c r="I124" s="295"/>
      <c r="J124" s="250"/>
      <c r="K124" s="250"/>
      <c r="L124" s="128" t="s">
        <v>327</v>
      </c>
      <c r="M124" s="128"/>
      <c r="N124" s="128" t="s">
        <v>327</v>
      </c>
      <c r="O124" s="128"/>
      <c r="P124" s="128" t="s">
        <v>327</v>
      </c>
      <c r="Q124" s="128"/>
      <c r="R124" s="128" t="s">
        <v>327</v>
      </c>
      <c r="S124" s="128"/>
      <c r="T124" s="250"/>
    </row>
    <row r="125" spans="1:20" ht="16" hidden="1" x14ac:dyDescent="0.2">
      <c r="A125" s="291"/>
      <c r="B125" s="250"/>
      <c r="C125" s="250"/>
      <c r="D125" s="250"/>
      <c r="E125" s="292"/>
      <c r="F125" s="130"/>
      <c r="G125" s="293"/>
      <c r="H125" s="302"/>
      <c r="I125" s="295"/>
      <c r="J125" s="250"/>
      <c r="K125" s="250"/>
      <c r="L125" s="138" t="s">
        <v>384</v>
      </c>
      <c r="M125" s="128"/>
      <c r="N125" s="138" t="s">
        <v>384</v>
      </c>
      <c r="O125" s="128"/>
      <c r="P125" s="138" t="s">
        <v>384</v>
      </c>
      <c r="Q125" s="128"/>
      <c r="R125" s="138" t="s">
        <v>384</v>
      </c>
      <c r="S125" s="128"/>
      <c r="T125" s="250"/>
    </row>
    <row r="126" spans="1:20" ht="48" customHeight="1" x14ac:dyDescent="0.2">
      <c r="A126" s="291"/>
      <c r="B126" s="250" t="s">
        <v>3</v>
      </c>
      <c r="C126" s="250" t="s">
        <v>3</v>
      </c>
      <c r="D126" s="250" t="s">
        <v>3</v>
      </c>
      <c r="E126" s="292" t="s">
        <v>3</v>
      </c>
      <c r="F126" s="304" t="s">
        <v>3</v>
      </c>
      <c r="G126" s="293" t="s">
        <v>19</v>
      </c>
      <c r="H126" s="302" t="s">
        <v>157</v>
      </c>
      <c r="I126" s="295" t="s">
        <v>187</v>
      </c>
      <c r="J126" s="250"/>
      <c r="K126" s="2" t="s">
        <v>210</v>
      </c>
      <c r="L126" s="211"/>
      <c r="M126" s="211"/>
      <c r="N126" s="211"/>
      <c r="O126" s="211"/>
      <c r="P126" s="211"/>
      <c r="Q126" s="211"/>
      <c r="R126" s="211"/>
      <c r="S126" s="211"/>
      <c r="T126" s="250" t="s">
        <v>416</v>
      </c>
    </row>
    <row r="127" spans="1:20" ht="48" x14ac:dyDescent="0.2">
      <c r="A127" s="291"/>
      <c r="B127" s="250"/>
      <c r="C127" s="250"/>
      <c r="D127" s="250"/>
      <c r="E127" s="292"/>
      <c r="F127" s="304"/>
      <c r="G127" s="293"/>
      <c r="H127" s="302"/>
      <c r="I127" s="295"/>
      <c r="J127" s="250"/>
      <c r="K127" s="2" t="s">
        <v>215</v>
      </c>
      <c r="L127" s="211"/>
      <c r="M127" s="211"/>
      <c r="N127" s="211"/>
      <c r="O127" s="211"/>
      <c r="P127" s="211"/>
      <c r="Q127" s="211"/>
      <c r="R127" s="211"/>
      <c r="S127" s="211"/>
      <c r="T127" s="250"/>
    </row>
    <row r="128" spans="1:20" ht="64" x14ac:dyDescent="0.2">
      <c r="A128" s="291"/>
      <c r="B128" s="250"/>
      <c r="C128" s="250"/>
      <c r="D128" s="250"/>
      <c r="E128" s="292"/>
      <c r="F128" s="304"/>
      <c r="G128" s="293"/>
      <c r="H128" s="302"/>
      <c r="I128" s="295"/>
      <c r="J128" s="250"/>
      <c r="K128" s="2" t="s">
        <v>216</v>
      </c>
      <c r="L128" s="211"/>
      <c r="M128" s="211"/>
      <c r="N128" s="211"/>
      <c r="O128" s="211"/>
      <c r="P128" s="211"/>
      <c r="Q128" s="211"/>
      <c r="R128" s="211"/>
      <c r="S128" s="211"/>
      <c r="T128" s="250"/>
    </row>
    <row r="129" spans="1:20" ht="16" x14ac:dyDescent="0.2">
      <c r="A129" s="291"/>
      <c r="B129" s="250"/>
      <c r="C129" s="250"/>
      <c r="D129" s="250"/>
      <c r="E129" s="292"/>
      <c r="F129" s="130"/>
      <c r="G129" s="293"/>
      <c r="H129" s="302"/>
      <c r="I129" s="295"/>
      <c r="J129" s="250"/>
      <c r="K129" s="250" t="s">
        <v>265</v>
      </c>
      <c r="L129" s="128" t="s">
        <v>328</v>
      </c>
      <c r="M129" s="128"/>
      <c r="N129" s="128" t="s">
        <v>328</v>
      </c>
      <c r="O129" s="128"/>
      <c r="P129" s="128" t="s">
        <v>328</v>
      </c>
      <c r="Q129" s="128"/>
      <c r="R129" s="128" t="s">
        <v>328</v>
      </c>
      <c r="S129" s="128"/>
      <c r="T129" s="250"/>
    </row>
    <row r="130" spans="1:20" ht="16" x14ac:dyDescent="0.2">
      <c r="A130" s="291"/>
      <c r="B130" s="250"/>
      <c r="C130" s="250"/>
      <c r="D130" s="250"/>
      <c r="E130" s="292"/>
      <c r="F130" s="130"/>
      <c r="G130" s="293"/>
      <c r="H130" s="302"/>
      <c r="I130" s="295"/>
      <c r="J130" s="250"/>
      <c r="K130" s="250"/>
      <c r="L130" s="138" t="s">
        <v>329</v>
      </c>
      <c r="M130" s="128"/>
      <c r="N130" s="138" t="s">
        <v>329</v>
      </c>
      <c r="O130" s="128"/>
      <c r="P130" s="138" t="s">
        <v>329</v>
      </c>
      <c r="Q130" s="128"/>
      <c r="R130" s="138" t="s">
        <v>329</v>
      </c>
      <c r="S130" s="128"/>
      <c r="T130" s="250"/>
    </row>
    <row r="131" spans="1:20" ht="28.75" customHeight="1" x14ac:dyDescent="0.2">
      <c r="A131" s="291"/>
      <c r="B131" s="250" t="s">
        <v>3</v>
      </c>
      <c r="C131" s="250" t="s">
        <v>3</v>
      </c>
      <c r="D131" s="250" t="s">
        <v>3</v>
      </c>
      <c r="E131" s="292" t="s">
        <v>3</v>
      </c>
      <c r="F131" s="304" t="s">
        <v>3</v>
      </c>
      <c r="G131" s="293" t="s">
        <v>19</v>
      </c>
      <c r="H131" s="302" t="s">
        <v>158</v>
      </c>
      <c r="I131" s="295" t="s">
        <v>187</v>
      </c>
      <c r="J131" s="250"/>
      <c r="K131" s="2" t="s">
        <v>210</v>
      </c>
      <c r="L131" s="211"/>
      <c r="M131" s="211"/>
      <c r="N131" s="211"/>
      <c r="O131" s="211"/>
      <c r="P131" s="211"/>
      <c r="Q131" s="211"/>
      <c r="R131" s="211"/>
      <c r="S131" s="211"/>
      <c r="T131" s="250" t="s">
        <v>416</v>
      </c>
    </row>
    <row r="132" spans="1:20" ht="48" x14ac:dyDescent="0.2">
      <c r="A132" s="291"/>
      <c r="B132" s="250"/>
      <c r="C132" s="250"/>
      <c r="D132" s="250"/>
      <c r="E132" s="292"/>
      <c r="F132" s="304"/>
      <c r="G132" s="293"/>
      <c r="H132" s="302"/>
      <c r="I132" s="295"/>
      <c r="J132" s="250"/>
      <c r="K132" s="2" t="s">
        <v>215</v>
      </c>
      <c r="L132" s="211"/>
      <c r="M132" s="211"/>
      <c r="N132" s="211"/>
      <c r="O132" s="211"/>
      <c r="P132" s="211"/>
      <c r="Q132" s="211"/>
      <c r="R132" s="211"/>
      <c r="S132" s="211"/>
      <c r="T132" s="250"/>
    </row>
    <row r="133" spans="1:20" ht="64" x14ac:dyDescent="0.2">
      <c r="A133" s="291"/>
      <c r="B133" s="250"/>
      <c r="C133" s="250"/>
      <c r="D133" s="250"/>
      <c r="E133" s="292"/>
      <c r="F133" s="304"/>
      <c r="G133" s="293"/>
      <c r="H133" s="302"/>
      <c r="I133" s="295"/>
      <c r="J133" s="250"/>
      <c r="K133" s="2" t="s">
        <v>216</v>
      </c>
      <c r="L133" s="211"/>
      <c r="M133" s="211"/>
      <c r="N133" s="211"/>
      <c r="O133" s="211"/>
      <c r="P133" s="211"/>
      <c r="Q133" s="211"/>
      <c r="R133" s="211"/>
      <c r="S133" s="211"/>
      <c r="T133" s="250"/>
    </row>
    <row r="134" spans="1:20" ht="16" x14ac:dyDescent="0.2">
      <c r="A134" s="291"/>
      <c r="B134" s="250"/>
      <c r="C134" s="250"/>
      <c r="D134" s="250"/>
      <c r="E134" s="292"/>
      <c r="F134" s="130"/>
      <c r="G134" s="293"/>
      <c r="H134" s="302"/>
      <c r="I134" s="295"/>
      <c r="J134" s="250"/>
      <c r="K134" s="250" t="s">
        <v>265</v>
      </c>
      <c r="L134" s="128" t="s">
        <v>328</v>
      </c>
      <c r="M134" s="128"/>
      <c r="N134" s="128" t="s">
        <v>328</v>
      </c>
      <c r="O134" s="128"/>
      <c r="P134" s="128" t="s">
        <v>328</v>
      </c>
      <c r="Q134" s="128"/>
      <c r="R134" s="128" t="s">
        <v>328</v>
      </c>
      <c r="S134" s="128"/>
      <c r="T134" s="250"/>
    </row>
    <row r="135" spans="1:20" ht="16" x14ac:dyDescent="0.2">
      <c r="A135" s="291"/>
      <c r="B135" s="250"/>
      <c r="C135" s="250"/>
      <c r="D135" s="250"/>
      <c r="E135" s="292"/>
      <c r="F135" s="130"/>
      <c r="G135" s="293"/>
      <c r="H135" s="302"/>
      <c r="I135" s="295"/>
      <c r="J135" s="250"/>
      <c r="K135" s="250"/>
      <c r="L135" s="138" t="s">
        <v>329</v>
      </c>
      <c r="M135" s="128"/>
      <c r="N135" s="138" t="s">
        <v>329</v>
      </c>
      <c r="O135" s="128"/>
      <c r="P135" s="138" t="s">
        <v>329</v>
      </c>
      <c r="Q135" s="128"/>
      <c r="R135" s="138" t="s">
        <v>329</v>
      </c>
      <c r="S135" s="128"/>
      <c r="T135" s="250"/>
    </row>
    <row r="136" spans="1:20" ht="82.75" customHeight="1" x14ac:dyDescent="0.2">
      <c r="A136" s="291"/>
      <c r="B136" s="250" t="s">
        <v>3</v>
      </c>
      <c r="C136" s="250" t="s">
        <v>3</v>
      </c>
      <c r="D136" s="250" t="s">
        <v>3</v>
      </c>
      <c r="E136" s="292" t="s">
        <v>3</v>
      </c>
      <c r="F136" s="304" t="s">
        <v>3</v>
      </c>
      <c r="G136" s="293" t="s">
        <v>19</v>
      </c>
      <c r="H136" s="294" t="s">
        <v>159</v>
      </c>
      <c r="I136" s="295" t="s">
        <v>263</v>
      </c>
      <c r="J136" s="250"/>
      <c r="K136" s="2" t="s">
        <v>210</v>
      </c>
      <c r="L136" s="211"/>
      <c r="M136" s="211"/>
      <c r="N136" s="211"/>
      <c r="O136" s="211"/>
      <c r="P136" s="211"/>
      <c r="Q136" s="211"/>
      <c r="R136" s="211"/>
      <c r="S136" s="211"/>
      <c r="T136" s="250" t="s">
        <v>417</v>
      </c>
    </row>
    <row r="137" spans="1:20" ht="32" x14ac:dyDescent="0.2">
      <c r="A137" s="291"/>
      <c r="B137" s="250"/>
      <c r="C137" s="250"/>
      <c r="D137" s="250"/>
      <c r="E137" s="292"/>
      <c r="F137" s="304"/>
      <c r="G137" s="293"/>
      <c r="H137" s="294"/>
      <c r="I137" s="295"/>
      <c r="J137" s="250"/>
      <c r="K137" s="2" t="s">
        <v>211</v>
      </c>
      <c r="L137" s="211"/>
      <c r="M137" s="211"/>
      <c r="N137" s="211"/>
      <c r="O137" s="211"/>
      <c r="P137" s="211"/>
      <c r="Q137" s="211"/>
      <c r="R137" s="211"/>
      <c r="S137" s="211"/>
      <c r="T137" s="250"/>
    </row>
    <row r="138" spans="1:20" ht="16" x14ac:dyDescent="0.2">
      <c r="A138" s="291"/>
      <c r="B138" s="250"/>
      <c r="C138" s="250"/>
      <c r="D138" s="250"/>
      <c r="E138" s="292"/>
      <c r="F138" s="130"/>
      <c r="G138" s="293"/>
      <c r="H138" s="294"/>
      <c r="I138" s="295"/>
      <c r="J138" s="250"/>
      <c r="K138" s="250" t="s">
        <v>265</v>
      </c>
      <c r="L138" s="128" t="s">
        <v>330</v>
      </c>
      <c r="M138" s="128"/>
      <c r="N138" s="128" t="s">
        <v>330</v>
      </c>
      <c r="O138" s="128"/>
      <c r="P138" s="128" t="s">
        <v>330</v>
      </c>
      <c r="Q138" s="128"/>
      <c r="R138" s="128" t="s">
        <v>330</v>
      </c>
      <c r="S138" s="128"/>
      <c r="T138" s="250"/>
    </row>
    <row r="139" spans="1:20" ht="48" x14ac:dyDescent="0.2">
      <c r="A139" s="291"/>
      <c r="B139" s="250"/>
      <c r="C139" s="250"/>
      <c r="D139" s="250"/>
      <c r="E139" s="292"/>
      <c r="F139" s="130"/>
      <c r="G139" s="293"/>
      <c r="H139" s="294"/>
      <c r="I139" s="295"/>
      <c r="J139" s="250"/>
      <c r="K139" s="250"/>
      <c r="L139" s="128" t="s">
        <v>394</v>
      </c>
      <c r="M139" s="128"/>
      <c r="N139" s="128" t="s">
        <v>394</v>
      </c>
      <c r="O139" s="128"/>
      <c r="P139" s="128" t="s">
        <v>394</v>
      </c>
      <c r="Q139" s="128"/>
      <c r="R139" s="128" t="s">
        <v>394</v>
      </c>
      <c r="S139" s="128"/>
      <c r="T139" s="250"/>
    </row>
    <row r="140" spans="1:20" ht="32" x14ac:dyDescent="0.2">
      <c r="A140" s="291"/>
      <c r="B140" s="250"/>
      <c r="C140" s="250"/>
      <c r="D140" s="250"/>
      <c r="E140" s="292"/>
      <c r="F140" s="130"/>
      <c r="G140" s="293"/>
      <c r="H140" s="294"/>
      <c r="I140" s="295"/>
      <c r="J140" s="250"/>
      <c r="K140" s="250"/>
      <c r="L140" s="138" t="s">
        <v>395</v>
      </c>
      <c r="M140" s="128"/>
      <c r="N140" s="138" t="s">
        <v>395</v>
      </c>
      <c r="O140" s="128"/>
      <c r="P140" s="138" t="s">
        <v>395</v>
      </c>
      <c r="Q140" s="128"/>
      <c r="R140" s="138" t="s">
        <v>395</v>
      </c>
      <c r="S140" s="128"/>
      <c r="T140" s="250"/>
    </row>
    <row r="141" spans="1:20" ht="54.5" hidden="1" customHeight="1" x14ac:dyDescent="0.2">
      <c r="A141" s="291"/>
      <c r="B141" s="250" t="s">
        <v>3</v>
      </c>
      <c r="C141" s="250" t="s">
        <v>3</v>
      </c>
      <c r="D141" s="250" t="s">
        <v>3</v>
      </c>
      <c r="E141" s="292" t="s">
        <v>3</v>
      </c>
      <c r="F141" s="304" t="s">
        <v>3</v>
      </c>
      <c r="G141" s="293" t="s">
        <v>19</v>
      </c>
      <c r="H141" s="294" t="s">
        <v>160</v>
      </c>
      <c r="I141" s="295" t="s">
        <v>188</v>
      </c>
      <c r="J141" s="250"/>
      <c r="K141" s="2" t="s">
        <v>210</v>
      </c>
      <c r="L141" s="211"/>
      <c r="M141" s="211"/>
      <c r="N141" s="211"/>
      <c r="O141" s="211"/>
      <c r="P141" s="211"/>
      <c r="Q141" s="211"/>
      <c r="R141" s="211"/>
      <c r="S141" s="211"/>
      <c r="T141" s="250" t="s">
        <v>410</v>
      </c>
    </row>
    <row r="142" spans="1:20" ht="32" hidden="1" x14ac:dyDescent="0.2">
      <c r="A142" s="291"/>
      <c r="B142" s="250"/>
      <c r="C142" s="250"/>
      <c r="D142" s="250"/>
      <c r="E142" s="292"/>
      <c r="F142" s="304"/>
      <c r="G142" s="293"/>
      <c r="H142" s="294"/>
      <c r="I142" s="295"/>
      <c r="J142" s="250"/>
      <c r="K142" s="2" t="s">
        <v>211</v>
      </c>
      <c r="L142" s="211"/>
      <c r="M142" s="211"/>
      <c r="N142" s="211"/>
      <c r="O142" s="211"/>
      <c r="P142" s="211"/>
      <c r="Q142" s="211"/>
      <c r="R142" s="211"/>
      <c r="S142" s="211"/>
      <c r="T142" s="250"/>
    </row>
    <row r="143" spans="1:20" ht="32" hidden="1" x14ac:dyDescent="0.2">
      <c r="A143" s="291"/>
      <c r="B143" s="250"/>
      <c r="C143" s="250"/>
      <c r="D143" s="250"/>
      <c r="E143" s="292"/>
      <c r="F143" s="130"/>
      <c r="G143" s="293"/>
      <c r="H143" s="294"/>
      <c r="I143" s="295"/>
      <c r="J143" s="250"/>
      <c r="K143" s="250" t="s">
        <v>265</v>
      </c>
      <c r="L143" s="128" t="s">
        <v>445</v>
      </c>
      <c r="M143" s="128"/>
      <c r="N143" s="128" t="s">
        <v>445</v>
      </c>
      <c r="O143" s="128"/>
      <c r="P143" s="128" t="s">
        <v>445</v>
      </c>
      <c r="Q143" s="128"/>
      <c r="R143" s="128" t="s">
        <v>445</v>
      </c>
      <c r="S143" s="128"/>
      <c r="T143" s="250"/>
    </row>
    <row r="144" spans="1:20" ht="48" hidden="1" x14ac:dyDescent="0.2">
      <c r="A144" s="291"/>
      <c r="B144" s="250"/>
      <c r="C144" s="250"/>
      <c r="D144" s="250"/>
      <c r="E144" s="292"/>
      <c r="F144" s="130"/>
      <c r="G144" s="293"/>
      <c r="H144" s="294"/>
      <c r="I144" s="295"/>
      <c r="J144" s="250"/>
      <c r="K144" s="250"/>
      <c r="L144" s="128" t="s">
        <v>348</v>
      </c>
      <c r="M144" s="128"/>
      <c r="N144" s="128" t="s">
        <v>348</v>
      </c>
      <c r="O144" s="128"/>
      <c r="P144" s="128" t="s">
        <v>348</v>
      </c>
      <c r="Q144" s="128"/>
      <c r="R144" s="128" t="s">
        <v>348</v>
      </c>
      <c r="S144" s="128"/>
      <c r="T144" s="250"/>
    </row>
    <row r="145" spans="1:20" ht="50.5" customHeight="1" x14ac:dyDescent="0.2">
      <c r="A145" s="291"/>
      <c r="B145" s="250" t="s">
        <v>3</v>
      </c>
      <c r="C145" s="291"/>
      <c r="D145" s="291"/>
      <c r="E145" s="292" t="s">
        <v>3</v>
      </c>
      <c r="F145" s="304" t="s">
        <v>3</v>
      </c>
      <c r="G145" s="293" t="s">
        <v>208</v>
      </c>
      <c r="H145" s="302" t="s">
        <v>161</v>
      </c>
      <c r="I145" s="295" t="s">
        <v>189</v>
      </c>
      <c r="J145" s="250"/>
      <c r="K145" s="2" t="s">
        <v>210</v>
      </c>
      <c r="L145" s="211"/>
      <c r="M145" s="211"/>
      <c r="N145" s="303"/>
      <c r="O145" s="303"/>
      <c r="P145" s="303"/>
      <c r="Q145" s="303"/>
      <c r="R145" s="211"/>
      <c r="S145" s="211"/>
      <c r="T145" s="250" t="s">
        <v>387</v>
      </c>
    </row>
    <row r="146" spans="1:20" ht="32" x14ac:dyDescent="0.2">
      <c r="A146" s="291"/>
      <c r="B146" s="250"/>
      <c r="C146" s="291"/>
      <c r="D146" s="291"/>
      <c r="E146" s="292"/>
      <c r="F146" s="304"/>
      <c r="G146" s="293"/>
      <c r="H146" s="302"/>
      <c r="I146" s="295"/>
      <c r="J146" s="250"/>
      <c r="K146" s="2" t="s">
        <v>211</v>
      </c>
      <c r="L146" s="211"/>
      <c r="M146" s="211"/>
      <c r="N146" s="303"/>
      <c r="O146" s="303"/>
      <c r="P146" s="303"/>
      <c r="Q146" s="303"/>
      <c r="R146" s="211"/>
      <c r="S146" s="211"/>
      <c r="T146" s="250"/>
    </row>
    <row r="147" spans="1:20" ht="16" x14ac:dyDescent="0.2">
      <c r="A147" s="291"/>
      <c r="B147" s="250"/>
      <c r="C147" s="291"/>
      <c r="D147" s="291"/>
      <c r="E147" s="292"/>
      <c r="F147" s="130"/>
      <c r="G147" s="293"/>
      <c r="H147" s="302"/>
      <c r="I147" s="295"/>
      <c r="J147" s="250"/>
      <c r="K147" s="250" t="s">
        <v>265</v>
      </c>
      <c r="L147" s="128" t="s">
        <v>331</v>
      </c>
      <c r="M147" s="128"/>
      <c r="N147" s="303"/>
      <c r="O147" s="303"/>
      <c r="P147" s="303"/>
      <c r="Q147" s="303"/>
      <c r="R147" s="128" t="s">
        <v>331</v>
      </c>
      <c r="S147" s="128"/>
      <c r="T147" s="250"/>
    </row>
    <row r="148" spans="1:20" ht="32" x14ac:dyDescent="0.2">
      <c r="A148" s="291"/>
      <c r="B148" s="250"/>
      <c r="C148" s="291"/>
      <c r="D148" s="291"/>
      <c r="E148" s="292"/>
      <c r="F148" s="130"/>
      <c r="G148" s="293"/>
      <c r="H148" s="302"/>
      <c r="I148" s="295"/>
      <c r="J148" s="250"/>
      <c r="K148" s="250"/>
      <c r="L148" s="128" t="s">
        <v>442</v>
      </c>
      <c r="M148" s="128"/>
      <c r="N148" s="303"/>
      <c r="O148" s="303"/>
      <c r="P148" s="303"/>
      <c r="Q148" s="303"/>
      <c r="R148" s="128" t="s">
        <v>442</v>
      </c>
      <c r="S148" s="128"/>
      <c r="T148" s="250"/>
    </row>
    <row r="149" spans="1:20" ht="48" x14ac:dyDescent="0.2">
      <c r="A149" s="291"/>
      <c r="B149" s="250"/>
      <c r="C149" s="291"/>
      <c r="D149" s="291"/>
      <c r="E149" s="292" t="s">
        <v>3</v>
      </c>
      <c r="F149" s="304" t="s">
        <v>3</v>
      </c>
      <c r="G149" s="293" t="s">
        <v>208</v>
      </c>
      <c r="H149" s="294" t="s">
        <v>167</v>
      </c>
      <c r="I149" s="295" t="s">
        <v>190</v>
      </c>
      <c r="J149" s="250"/>
      <c r="K149" s="2" t="s">
        <v>210</v>
      </c>
      <c r="L149" s="303"/>
      <c r="M149" s="303"/>
      <c r="N149" s="303"/>
      <c r="O149" s="303"/>
      <c r="P149" s="303"/>
      <c r="Q149" s="303"/>
      <c r="R149" s="211"/>
      <c r="S149" s="211"/>
      <c r="T149" s="250" t="s">
        <v>410</v>
      </c>
    </row>
    <row r="150" spans="1:20" ht="32" x14ac:dyDescent="0.2">
      <c r="A150" s="291"/>
      <c r="B150" s="250"/>
      <c r="C150" s="291"/>
      <c r="D150" s="291"/>
      <c r="E150" s="292"/>
      <c r="F150" s="304"/>
      <c r="G150" s="293"/>
      <c r="H150" s="294"/>
      <c r="I150" s="295"/>
      <c r="J150" s="250"/>
      <c r="K150" s="2" t="s">
        <v>211</v>
      </c>
      <c r="L150" s="303"/>
      <c r="M150" s="303"/>
      <c r="N150" s="303"/>
      <c r="O150" s="303"/>
      <c r="P150" s="303"/>
      <c r="Q150" s="303"/>
      <c r="R150" s="211"/>
      <c r="S150" s="211"/>
      <c r="T150" s="250"/>
    </row>
    <row r="151" spans="1:20" ht="32" x14ac:dyDescent="0.2">
      <c r="A151" s="291"/>
      <c r="B151" s="250"/>
      <c r="C151" s="291"/>
      <c r="D151" s="291"/>
      <c r="E151" s="292"/>
      <c r="F151" s="130"/>
      <c r="G151" s="293"/>
      <c r="H151" s="294"/>
      <c r="I151" s="295"/>
      <c r="J151" s="250"/>
      <c r="K151" s="250" t="s">
        <v>265</v>
      </c>
      <c r="L151" s="303"/>
      <c r="M151" s="303"/>
      <c r="N151" s="303"/>
      <c r="O151" s="303"/>
      <c r="P151" s="303"/>
      <c r="Q151" s="303"/>
      <c r="R151" s="128" t="s">
        <v>332</v>
      </c>
      <c r="S151" s="128"/>
      <c r="T151" s="250"/>
    </row>
    <row r="152" spans="1:20" ht="32" x14ac:dyDescent="0.2">
      <c r="A152" s="291"/>
      <c r="B152" s="250"/>
      <c r="C152" s="291"/>
      <c r="D152" s="291"/>
      <c r="E152" s="292"/>
      <c r="F152" s="130"/>
      <c r="G152" s="293"/>
      <c r="H152" s="294"/>
      <c r="I152" s="295"/>
      <c r="J152" s="250"/>
      <c r="K152" s="250"/>
      <c r="L152" s="303"/>
      <c r="M152" s="303"/>
      <c r="N152" s="303"/>
      <c r="O152" s="303"/>
      <c r="P152" s="303"/>
      <c r="Q152" s="303"/>
      <c r="R152" s="128" t="s">
        <v>333</v>
      </c>
      <c r="S152" s="128"/>
      <c r="T152" s="250"/>
    </row>
    <row r="153" spans="1:20" ht="28.75" hidden="1" customHeight="1" x14ac:dyDescent="0.2">
      <c r="A153" s="291"/>
      <c r="B153" s="250" t="s">
        <v>3</v>
      </c>
      <c r="C153" s="250" t="s">
        <v>3</v>
      </c>
      <c r="D153" s="250" t="s">
        <v>3</v>
      </c>
      <c r="E153" s="292" t="s">
        <v>3</v>
      </c>
      <c r="F153" s="304"/>
      <c r="G153" s="293" t="s">
        <v>20</v>
      </c>
      <c r="H153" s="302" t="s">
        <v>60</v>
      </c>
      <c r="I153" s="295" t="s">
        <v>264</v>
      </c>
      <c r="J153" s="250"/>
      <c r="K153" s="2" t="s">
        <v>210</v>
      </c>
      <c r="L153" s="211"/>
      <c r="M153" s="211"/>
      <c r="N153" s="211"/>
      <c r="O153" s="211"/>
      <c r="P153" s="211"/>
      <c r="Q153" s="211"/>
      <c r="R153" s="211"/>
      <c r="S153" s="211"/>
      <c r="T153" s="250" t="s">
        <v>402</v>
      </c>
    </row>
    <row r="154" spans="1:20" ht="48" hidden="1" x14ac:dyDescent="0.2">
      <c r="A154" s="291"/>
      <c r="B154" s="250"/>
      <c r="C154" s="250"/>
      <c r="D154" s="250"/>
      <c r="E154" s="292"/>
      <c r="F154" s="304"/>
      <c r="G154" s="293"/>
      <c r="H154" s="302"/>
      <c r="I154" s="295"/>
      <c r="J154" s="250"/>
      <c r="K154" s="2" t="s">
        <v>217</v>
      </c>
      <c r="L154" s="211"/>
      <c r="M154" s="211"/>
      <c r="N154" s="211"/>
      <c r="O154" s="211"/>
      <c r="P154" s="211"/>
      <c r="Q154" s="211"/>
      <c r="R154" s="211"/>
      <c r="S154" s="211"/>
      <c r="T154" s="250"/>
    </row>
    <row r="155" spans="1:20" ht="48" hidden="1" x14ac:dyDescent="0.2">
      <c r="A155" s="291"/>
      <c r="B155" s="250"/>
      <c r="C155" s="250"/>
      <c r="D155" s="250"/>
      <c r="E155" s="292"/>
      <c r="F155" s="304"/>
      <c r="G155" s="293"/>
      <c r="H155" s="302"/>
      <c r="I155" s="295"/>
      <c r="J155" s="250"/>
      <c r="K155" s="2" t="s">
        <v>218</v>
      </c>
      <c r="L155" s="211"/>
      <c r="M155" s="211"/>
      <c r="N155" s="211"/>
      <c r="O155" s="211"/>
      <c r="P155" s="211"/>
      <c r="Q155" s="211"/>
      <c r="R155" s="211"/>
      <c r="S155" s="211"/>
      <c r="T155" s="250"/>
    </row>
    <row r="156" spans="1:20" ht="48" hidden="1" x14ac:dyDescent="0.2">
      <c r="A156" s="291"/>
      <c r="B156" s="250"/>
      <c r="C156" s="250"/>
      <c r="D156" s="250"/>
      <c r="E156" s="292"/>
      <c r="F156" s="304"/>
      <c r="G156" s="293"/>
      <c r="H156" s="302"/>
      <c r="I156" s="295"/>
      <c r="J156" s="250"/>
      <c r="K156" s="2" t="s">
        <v>219</v>
      </c>
      <c r="L156" s="211"/>
      <c r="M156" s="211"/>
      <c r="N156" s="211"/>
      <c r="O156" s="211"/>
      <c r="P156" s="211"/>
      <c r="Q156" s="211"/>
      <c r="R156" s="211"/>
      <c r="S156" s="211"/>
      <c r="T156" s="250"/>
    </row>
    <row r="157" spans="1:20" ht="48" hidden="1" x14ac:dyDescent="0.2">
      <c r="A157" s="291"/>
      <c r="B157" s="250"/>
      <c r="C157" s="250"/>
      <c r="D157" s="250"/>
      <c r="E157" s="292"/>
      <c r="F157" s="304"/>
      <c r="G157" s="293"/>
      <c r="H157" s="302"/>
      <c r="I157" s="295"/>
      <c r="J157" s="250"/>
      <c r="K157" s="2" t="s">
        <v>220</v>
      </c>
      <c r="L157" s="211"/>
      <c r="M157" s="211"/>
      <c r="N157" s="211"/>
      <c r="O157" s="211"/>
      <c r="P157" s="211"/>
      <c r="Q157" s="211"/>
      <c r="R157" s="211"/>
      <c r="S157" s="211"/>
      <c r="T157" s="250"/>
    </row>
    <row r="158" spans="1:20" ht="16" hidden="1" x14ac:dyDescent="0.2">
      <c r="A158" s="291"/>
      <c r="B158" s="250"/>
      <c r="C158" s="250"/>
      <c r="D158" s="250"/>
      <c r="E158" s="292"/>
      <c r="F158" s="130"/>
      <c r="G158" s="293"/>
      <c r="H158" s="302"/>
      <c r="I158" s="295"/>
      <c r="J158" s="250"/>
      <c r="K158" s="250" t="s">
        <v>265</v>
      </c>
      <c r="L158" s="128" t="s">
        <v>334</v>
      </c>
      <c r="M158" s="128"/>
      <c r="N158" s="128" t="s">
        <v>334</v>
      </c>
      <c r="O158" s="128"/>
      <c r="P158" s="128" t="s">
        <v>334</v>
      </c>
      <c r="Q158" s="128"/>
      <c r="R158" s="128" t="s">
        <v>334</v>
      </c>
      <c r="S158" s="128"/>
      <c r="T158" s="250"/>
    </row>
    <row r="159" spans="1:20" ht="16" hidden="1" x14ac:dyDescent="0.2">
      <c r="A159" s="291"/>
      <c r="B159" s="250"/>
      <c r="C159" s="250"/>
      <c r="D159" s="250"/>
      <c r="E159" s="292"/>
      <c r="F159" s="130"/>
      <c r="G159" s="293"/>
      <c r="H159" s="302"/>
      <c r="I159" s="295"/>
      <c r="J159" s="250"/>
      <c r="K159" s="250"/>
      <c r="L159" s="128" t="s">
        <v>335</v>
      </c>
      <c r="M159" s="128"/>
      <c r="N159" s="128" t="s">
        <v>335</v>
      </c>
      <c r="O159" s="128"/>
      <c r="P159" s="128" t="s">
        <v>335</v>
      </c>
      <c r="Q159" s="128"/>
      <c r="R159" s="128" t="s">
        <v>335</v>
      </c>
      <c r="S159" s="128"/>
      <c r="T159" s="250"/>
    </row>
    <row r="160" spans="1:20" ht="16" hidden="1" x14ac:dyDescent="0.2">
      <c r="A160" s="291"/>
      <c r="B160" s="250"/>
      <c r="C160" s="250"/>
      <c r="D160" s="250"/>
      <c r="E160" s="292"/>
      <c r="F160" s="130"/>
      <c r="G160" s="293"/>
      <c r="H160" s="302"/>
      <c r="I160" s="295"/>
      <c r="J160" s="250"/>
      <c r="K160" s="250"/>
      <c r="L160" s="128" t="s">
        <v>336</v>
      </c>
      <c r="M160" s="128"/>
      <c r="N160" s="128" t="s">
        <v>336</v>
      </c>
      <c r="O160" s="128"/>
      <c r="P160" s="128" t="s">
        <v>336</v>
      </c>
      <c r="Q160" s="128"/>
      <c r="R160" s="128" t="s">
        <v>336</v>
      </c>
      <c r="S160" s="128"/>
      <c r="T160" s="250"/>
    </row>
    <row r="161" spans="1:20" ht="48" hidden="1" customHeight="1" x14ac:dyDescent="0.2">
      <c r="A161" s="291"/>
      <c r="B161" s="250" t="s">
        <v>3</v>
      </c>
      <c r="C161" s="250" t="s">
        <v>3</v>
      </c>
      <c r="D161" s="250" t="s">
        <v>3</v>
      </c>
      <c r="E161" s="292" t="s">
        <v>3</v>
      </c>
      <c r="F161" s="304"/>
      <c r="G161" s="293" t="s">
        <v>20</v>
      </c>
      <c r="H161" s="294" t="s">
        <v>162</v>
      </c>
      <c r="I161" s="295" t="s">
        <v>191</v>
      </c>
      <c r="J161" s="250"/>
      <c r="K161" s="2" t="s">
        <v>210</v>
      </c>
      <c r="L161" s="211"/>
      <c r="M161" s="211"/>
      <c r="N161" s="211"/>
      <c r="O161" s="211"/>
      <c r="P161" s="211"/>
      <c r="Q161" s="211"/>
      <c r="R161" s="211"/>
      <c r="S161" s="211"/>
      <c r="T161" s="250" t="s">
        <v>410</v>
      </c>
    </row>
    <row r="162" spans="1:20" ht="32" hidden="1" x14ac:dyDescent="0.2">
      <c r="A162" s="291"/>
      <c r="B162" s="250"/>
      <c r="C162" s="250"/>
      <c r="D162" s="250"/>
      <c r="E162" s="292"/>
      <c r="F162" s="304"/>
      <c r="G162" s="293"/>
      <c r="H162" s="294"/>
      <c r="I162" s="295"/>
      <c r="J162" s="250"/>
      <c r="K162" s="2" t="s">
        <v>211</v>
      </c>
      <c r="L162" s="211"/>
      <c r="M162" s="211"/>
      <c r="N162" s="211"/>
      <c r="O162" s="211"/>
      <c r="P162" s="211"/>
      <c r="Q162" s="211"/>
      <c r="R162" s="211"/>
      <c r="S162" s="211"/>
      <c r="T162" s="250"/>
    </row>
    <row r="163" spans="1:20" ht="32" hidden="1" x14ac:dyDescent="0.2">
      <c r="A163" s="291"/>
      <c r="B163" s="250"/>
      <c r="C163" s="250"/>
      <c r="D163" s="250"/>
      <c r="E163" s="292"/>
      <c r="F163" s="130"/>
      <c r="G163" s="293"/>
      <c r="H163" s="294"/>
      <c r="I163" s="295"/>
      <c r="J163" s="250"/>
      <c r="K163" s="2" t="s">
        <v>265</v>
      </c>
      <c r="L163" s="128" t="s">
        <v>375</v>
      </c>
      <c r="M163" s="128"/>
      <c r="N163" s="128" t="s">
        <v>375</v>
      </c>
      <c r="O163" s="128"/>
      <c r="P163" s="128" t="s">
        <v>375</v>
      </c>
      <c r="Q163" s="128"/>
      <c r="R163" s="128" t="s">
        <v>375</v>
      </c>
      <c r="S163" s="128"/>
      <c r="T163" s="250"/>
    </row>
    <row r="164" spans="1:20" ht="48" customHeight="1" x14ac:dyDescent="0.2">
      <c r="A164" s="291"/>
      <c r="B164" s="250" t="s">
        <v>3</v>
      </c>
      <c r="C164" s="250" t="s">
        <v>3</v>
      </c>
      <c r="D164" s="250" t="s">
        <v>3</v>
      </c>
      <c r="E164" s="292" t="s">
        <v>3</v>
      </c>
      <c r="F164" s="304" t="s">
        <v>3</v>
      </c>
      <c r="G164" s="293" t="s">
        <v>20</v>
      </c>
      <c r="H164" s="294" t="s">
        <v>163</v>
      </c>
      <c r="I164" s="295" t="s">
        <v>192</v>
      </c>
      <c r="J164" s="250"/>
      <c r="K164" s="2" t="s">
        <v>210</v>
      </c>
      <c r="L164" s="211"/>
      <c r="M164" s="211"/>
      <c r="N164" s="211"/>
      <c r="O164" s="211"/>
      <c r="P164" s="211"/>
      <c r="Q164" s="211"/>
      <c r="R164" s="211"/>
      <c r="S164" s="211"/>
      <c r="T164" s="250" t="s">
        <v>415</v>
      </c>
    </row>
    <row r="165" spans="1:20" ht="32" x14ac:dyDescent="0.2">
      <c r="A165" s="291"/>
      <c r="B165" s="250"/>
      <c r="C165" s="250"/>
      <c r="D165" s="250"/>
      <c r="E165" s="292"/>
      <c r="F165" s="304"/>
      <c r="G165" s="293"/>
      <c r="H165" s="294"/>
      <c r="I165" s="295"/>
      <c r="J165" s="250"/>
      <c r="K165" s="2" t="s">
        <v>211</v>
      </c>
      <c r="L165" s="211"/>
      <c r="M165" s="211"/>
      <c r="N165" s="211"/>
      <c r="O165" s="211"/>
      <c r="P165" s="211"/>
      <c r="Q165" s="211"/>
      <c r="R165" s="211"/>
      <c r="S165" s="211"/>
      <c r="T165" s="250"/>
    </row>
    <row r="166" spans="1:20" ht="32" x14ac:dyDescent="0.2">
      <c r="A166" s="291"/>
      <c r="B166" s="250"/>
      <c r="C166" s="250"/>
      <c r="D166" s="250"/>
      <c r="E166" s="292"/>
      <c r="F166" s="130"/>
      <c r="G166" s="293"/>
      <c r="H166" s="294"/>
      <c r="I166" s="295"/>
      <c r="J166" s="250"/>
      <c r="K166" s="2" t="s">
        <v>265</v>
      </c>
      <c r="L166" s="128" t="s">
        <v>337</v>
      </c>
      <c r="M166" s="128"/>
      <c r="N166" s="128" t="s">
        <v>337</v>
      </c>
      <c r="O166" s="128"/>
      <c r="P166" s="128" t="s">
        <v>337</v>
      </c>
      <c r="Q166" s="128"/>
      <c r="R166" s="128" t="s">
        <v>337</v>
      </c>
      <c r="S166" s="128"/>
      <c r="T166" s="250"/>
    </row>
    <row r="167" spans="1:20" ht="43.25" customHeight="1" x14ac:dyDescent="0.2">
      <c r="A167" s="291"/>
      <c r="B167" s="312" t="s">
        <v>3</v>
      </c>
      <c r="C167" s="312" t="s">
        <v>3</v>
      </c>
      <c r="D167" s="312" t="s">
        <v>3</v>
      </c>
      <c r="E167" s="304" t="s">
        <v>3</v>
      </c>
      <c r="F167" s="304" t="s">
        <v>3</v>
      </c>
      <c r="G167" s="307" t="s">
        <v>235</v>
      </c>
      <c r="H167" s="307" t="s">
        <v>175</v>
      </c>
      <c r="I167" s="308"/>
      <c r="J167" s="250"/>
      <c r="K167" s="2" t="s">
        <v>210</v>
      </c>
      <c r="L167" s="211"/>
      <c r="M167" s="211"/>
      <c r="N167" s="211"/>
      <c r="O167" s="211"/>
      <c r="P167" s="211"/>
      <c r="Q167" s="211"/>
      <c r="R167" s="211"/>
      <c r="S167" s="211"/>
      <c r="T167" s="250"/>
    </row>
    <row r="168" spans="1:20" ht="51.5" customHeight="1" x14ac:dyDescent="0.2">
      <c r="A168" s="291"/>
      <c r="B168" s="312"/>
      <c r="C168" s="312"/>
      <c r="D168" s="312"/>
      <c r="E168" s="304"/>
      <c r="F168" s="304"/>
      <c r="G168" s="307"/>
      <c r="H168" s="307"/>
      <c r="I168" s="308"/>
      <c r="J168" s="250"/>
      <c r="K168" s="2" t="s">
        <v>211</v>
      </c>
      <c r="L168" s="211"/>
      <c r="M168" s="211"/>
      <c r="N168" s="211"/>
      <c r="O168" s="211"/>
      <c r="P168" s="211"/>
      <c r="Q168" s="211"/>
      <c r="R168" s="211"/>
      <c r="S168" s="211"/>
      <c r="T168" s="250"/>
    </row>
    <row r="169" spans="1:20" ht="24.5" customHeight="1" x14ac:dyDescent="0.2">
      <c r="A169" s="291"/>
      <c r="B169" s="312"/>
      <c r="C169" s="312"/>
      <c r="D169" s="312"/>
      <c r="E169" s="304"/>
      <c r="F169" s="130"/>
      <c r="G169" s="307"/>
      <c r="H169" s="307"/>
      <c r="I169" s="308"/>
      <c r="J169" s="250"/>
      <c r="K169" s="2" t="s">
        <v>265</v>
      </c>
      <c r="L169" s="128" t="s">
        <v>338</v>
      </c>
      <c r="M169" s="128"/>
      <c r="N169" s="128" t="s">
        <v>338</v>
      </c>
      <c r="O169" s="128"/>
      <c r="P169" s="128" t="s">
        <v>338</v>
      </c>
      <c r="Q169" s="128"/>
      <c r="R169" s="128" t="s">
        <v>338</v>
      </c>
      <c r="S169" s="128"/>
      <c r="T169" s="250"/>
    </row>
    <row r="170" spans="1:20" ht="73.75" customHeight="1" x14ac:dyDescent="0.2">
      <c r="A170" s="291"/>
      <c r="B170" s="291" t="s">
        <v>3</v>
      </c>
      <c r="C170" s="291" t="s">
        <v>3</v>
      </c>
      <c r="D170" s="291" t="s">
        <v>3</v>
      </c>
      <c r="E170" s="313" t="s">
        <v>3</v>
      </c>
      <c r="F170" s="313" t="s">
        <v>3</v>
      </c>
      <c r="G170" s="307" t="s">
        <v>246</v>
      </c>
      <c r="H170" s="307" t="s">
        <v>249</v>
      </c>
      <c r="I170" s="308"/>
      <c r="J170" s="250"/>
      <c r="K170" s="2" t="s">
        <v>210</v>
      </c>
      <c r="L170" s="211"/>
      <c r="M170" s="211"/>
      <c r="N170" s="211"/>
      <c r="O170" s="211"/>
      <c r="P170" s="211"/>
      <c r="Q170" s="211"/>
      <c r="R170" s="211"/>
      <c r="S170" s="211"/>
      <c r="T170" s="250"/>
    </row>
    <row r="171" spans="1:20" ht="76.25" customHeight="1" x14ac:dyDescent="0.2">
      <c r="A171" s="291"/>
      <c r="B171" s="291"/>
      <c r="C171" s="291"/>
      <c r="D171" s="291"/>
      <c r="E171" s="313"/>
      <c r="F171" s="313"/>
      <c r="G171" s="307"/>
      <c r="H171" s="307"/>
      <c r="I171" s="308"/>
      <c r="J171" s="250"/>
      <c r="K171" s="2" t="s">
        <v>211</v>
      </c>
      <c r="L171" s="211"/>
      <c r="M171" s="211"/>
      <c r="N171" s="211"/>
      <c r="O171" s="211"/>
      <c r="P171" s="211"/>
      <c r="Q171" s="211"/>
      <c r="R171" s="211"/>
      <c r="S171" s="211"/>
      <c r="T171" s="250"/>
    </row>
    <row r="172" spans="1:20" ht="32" x14ac:dyDescent="0.2">
      <c r="A172" s="291"/>
      <c r="B172" s="291"/>
      <c r="C172" s="291"/>
      <c r="D172" s="291"/>
      <c r="E172" s="313"/>
      <c r="F172" s="134"/>
      <c r="G172" s="307"/>
      <c r="H172" s="307"/>
      <c r="I172" s="308"/>
      <c r="J172" s="250"/>
      <c r="K172" s="250" t="s">
        <v>265</v>
      </c>
      <c r="L172" s="128" t="s">
        <v>376</v>
      </c>
      <c r="M172" s="128"/>
      <c r="N172" s="128" t="s">
        <v>376</v>
      </c>
      <c r="O172" s="128"/>
      <c r="P172" s="128" t="s">
        <v>376</v>
      </c>
      <c r="Q172" s="128"/>
      <c r="R172" s="128" t="s">
        <v>376</v>
      </c>
      <c r="S172" s="128"/>
      <c r="T172" s="250"/>
    </row>
    <row r="173" spans="1:20" ht="32" x14ac:dyDescent="0.2">
      <c r="A173" s="291"/>
      <c r="B173" s="291"/>
      <c r="C173" s="291"/>
      <c r="D173" s="291"/>
      <c r="E173" s="313"/>
      <c r="F173" s="134"/>
      <c r="G173" s="307"/>
      <c r="H173" s="307"/>
      <c r="I173" s="308"/>
      <c r="J173" s="250"/>
      <c r="K173" s="250"/>
      <c r="L173" s="128" t="s">
        <v>377</v>
      </c>
      <c r="M173" s="128"/>
      <c r="N173" s="128" t="s">
        <v>377</v>
      </c>
      <c r="O173" s="128"/>
      <c r="P173" s="128" t="s">
        <v>377</v>
      </c>
      <c r="Q173" s="128"/>
      <c r="R173" s="128" t="s">
        <v>377</v>
      </c>
      <c r="S173" s="128"/>
      <c r="T173" s="250"/>
    </row>
    <row r="174" spans="1:20" ht="16" x14ac:dyDescent="0.2">
      <c r="A174" s="291"/>
      <c r="B174" s="291"/>
      <c r="C174" s="291"/>
      <c r="D174" s="291"/>
      <c r="E174" s="313"/>
      <c r="F174" s="134"/>
      <c r="G174" s="307"/>
      <c r="H174" s="307"/>
      <c r="I174" s="308"/>
      <c r="J174" s="250"/>
      <c r="K174" s="250"/>
      <c r="L174" s="128" t="s">
        <v>378</v>
      </c>
      <c r="M174" s="128"/>
      <c r="N174" s="128" t="s">
        <v>378</v>
      </c>
      <c r="O174" s="128"/>
      <c r="P174" s="128" t="s">
        <v>378</v>
      </c>
      <c r="Q174" s="128"/>
      <c r="R174" s="128" t="s">
        <v>378</v>
      </c>
      <c r="S174" s="128"/>
      <c r="T174" s="250"/>
    </row>
    <row r="175" spans="1:20" ht="32" x14ac:dyDescent="0.2">
      <c r="A175" s="291"/>
      <c r="B175" s="291"/>
      <c r="C175" s="291"/>
      <c r="D175" s="291"/>
      <c r="E175" s="313"/>
      <c r="F175" s="134"/>
      <c r="G175" s="307"/>
      <c r="H175" s="307"/>
      <c r="I175" s="308"/>
      <c r="J175" s="250"/>
      <c r="K175" s="250"/>
      <c r="L175" s="128" t="s">
        <v>379</v>
      </c>
      <c r="M175" s="128"/>
      <c r="N175" s="128" t="s">
        <v>379</v>
      </c>
      <c r="O175" s="128"/>
      <c r="P175" s="128" t="s">
        <v>379</v>
      </c>
      <c r="Q175" s="128"/>
      <c r="R175" s="128" t="s">
        <v>379</v>
      </c>
      <c r="S175" s="128"/>
      <c r="T175" s="250"/>
    </row>
    <row r="176" spans="1:20" ht="32" x14ac:dyDescent="0.2">
      <c r="A176" s="291"/>
      <c r="B176" s="291"/>
      <c r="C176" s="291"/>
      <c r="D176" s="291"/>
      <c r="E176" s="313"/>
      <c r="F176" s="134"/>
      <c r="G176" s="307"/>
      <c r="H176" s="307"/>
      <c r="I176" s="308"/>
      <c r="J176" s="250"/>
      <c r="K176" s="250"/>
      <c r="L176" s="128" t="s">
        <v>380</v>
      </c>
      <c r="M176" s="128"/>
      <c r="N176" s="128" t="s">
        <v>380</v>
      </c>
      <c r="O176" s="128"/>
      <c r="P176" s="128" t="s">
        <v>380</v>
      </c>
      <c r="Q176" s="128"/>
      <c r="R176" s="128" t="s">
        <v>380</v>
      </c>
      <c r="S176" s="128"/>
      <c r="T176" s="250"/>
    </row>
    <row r="177" spans="1:19" ht="37.75" hidden="1" customHeight="1" x14ac:dyDescent="0.2">
      <c r="A177" s="136"/>
      <c r="B177" s="309" t="s">
        <v>433</v>
      </c>
      <c r="C177" s="309"/>
      <c r="D177" s="309"/>
      <c r="E177" s="309"/>
      <c r="F177" s="309"/>
      <c r="G177" s="309"/>
      <c r="H177" s="309"/>
      <c r="I177" s="108"/>
      <c r="J177" s="107"/>
      <c r="K177" s="110"/>
      <c r="L177" s="323"/>
      <c r="M177" s="324"/>
      <c r="N177" s="323"/>
      <c r="O177" s="324"/>
      <c r="P177" s="323"/>
      <c r="Q177" s="324"/>
      <c r="R177" s="323"/>
      <c r="S177" s="324"/>
    </row>
    <row r="178" spans="1:19" ht="28.75" hidden="1" customHeight="1" x14ac:dyDescent="0.2">
      <c r="A178" s="120"/>
      <c r="B178" s="293" t="s">
        <v>426</v>
      </c>
      <c r="C178" s="293"/>
      <c r="D178" s="293"/>
      <c r="E178" s="293"/>
      <c r="F178" s="293"/>
      <c r="G178" s="293"/>
      <c r="H178" s="293"/>
      <c r="I178" s="109"/>
      <c r="J178" s="2"/>
      <c r="K178" s="111"/>
      <c r="L178" s="310"/>
      <c r="M178" s="311"/>
      <c r="N178" s="310"/>
      <c r="O178" s="311"/>
      <c r="P178" s="310"/>
      <c r="Q178" s="311"/>
      <c r="R178" s="310"/>
      <c r="S178" s="311"/>
    </row>
    <row r="179" spans="1:19" ht="43.25" hidden="1" customHeight="1" x14ac:dyDescent="0.2">
      <c r="A179" s="120"/>
      <c r="B179" s="293" t="s">
        <v>427</v>
      </c>
      <c r="C179" s="293"/>
      <c r="D179" s="293"/>
      <c r="E179" s="293"/>
      <c r="F179" s="293"/>
      <c r="G179" s="293"/>
      <c r="H179" s="293"/>
      <c r="I179" s="109"/>
      <c r="J179" s="2"/>
      <c r="K179" s="111"/>
      <c r="L179" s="310"/>
      <c r="M179" s="311"/>
      <c r="N179" s="310"/>
      <c r="O179" s="311"/>
      <c r="P179" s="310"/>
      <c r="Q179" s="311"/>
      <c r="R179" s="310"/>
      <c r="S179" s="311"/>
    </row>
    <row r="180" spans="1:19" ht="28.75" hidden="1" customHeight="1" x14ac:dyDescent="0.2">
      <c r="A180" s="120"/>
      <c r="B180" s="293" t="s">
        <v>428</v>
      </c>
      <c r="C180" s="293"/>
      <c r="D180" s="293"/>
      <c r="E180" s="293"/>
      <c r="F180" s="293"/>
      <c r="G180" s="293"/>
      <c r="H180" s="293"/>
      <c r="I180" s="109"/>
      <c r="J180" s="2"/>
      <c r="K180" s="111"/>
      <c r="L180" s="310"/>
      <c r="M180" s="311"/>
      <c r="N180" s="310"/>
      <c r="O180" s="311"/>
      <c r="P180" s="310"/>
      <c r="Q180" s="311"/>
      <c r="R180" s="310"/>
      <c r="S180" s="311"/>
    </row>
    <row r="181" spans="1:19" ht="42.5" hidden="1" customHeight="1" x14ac:dyDescent="0.2">
      <c r="A181" s="120"/>
      <c r="B181" s="293" t="s">
        <v>429</v>
      </c>
      <c r="C181" s="293"/>
      <c r="D181" s="293"/>
      <c r="E181" s="293"/>
      <c r="F181" s="293"/>
      <c r="G181" s="293"/>
      <c r="H181" s="293"/>
      <c r="I181" s="109"/>
      <c r="J181" s="2"/>
      <c r="K181" s="111"/>
      <c r="L181" s="310"/>
      <c r="M181" s="311"/>
      <c r="N181" s="310"/>
      <c r="O181" s="311"/>
      <c r="P181" s="310"/>
      <c r="Q181" s="311"/>
      <c r="R181" s="310"/>
      <c r="S181" s="311"/>
    </row>
    <row r="182" spans="1:19" ht="45" hidden="1" customHeight="1" x14ac:dyDescent="0.2">
      <c r="A182" s="120"/>
      <c r="B182" s="293" t="s">
        <v>430</v>
      </c>
      <c r="C182" s="293"/>
      <c r="D182" s="293"/>
      <c r="E182" s="293"/>
      <c r="F182" s="293"/>
      <c r="G182" s="293"/>
      <c r="H182" s="293"/>
      <c r="I182" s="109"/>
      <c r="J182" s="2"/>
      <c r="K182" s="111"/>
      <c r="L182" s="310"/>
      <c r="M182" s="311"/>
      <c r="N182" s="310"/>
      <c r="O182" s="311"/>
      <c r="P182" s="310"/>
      <c r="Q182" s="311"/>
      <c r="R182" s="310"/>
      <c r="S182" s="311"/>
    </row>
    <row r="183" spans="1:19" ht="40.25" hidden="1" customHeight="1" x14ac:dyDescent="0.2">
      <c r="A183" s="120"/>
      <c r="B183" s="293" t="s">
        <v>431</v>
      </c>
      <c r="C183" s="293"/>
      <c r="D183" s="293"/>
      <c r="E183" s="293"/>
      <c r="F183" s="293"/>
      <c r="G183" s="293"/>
      <c r="H183" s="293"/>
      <c r="I183" s="109"/>
      <c r="J183" s="2"/>
      <c r="K183" s="111"/>
      <c r="L183" s="310"/>
      <c r="M183" s="311"/>
      <c r="N183" s="310"/>
      <c r="O183" s="311"/>
      <c r="P183" s="310"/>
      <c r="Q183" s="311"/>
      <c r="R183" s="310"/>
      <c r="S183" s="311"/>
    </row>
    <row r="184" spans="1:19" ht="28.75" hidden="1" customHeight="1" x14ac:dyDescent="0.2">
      <c r="A184" s="120"/>
      <c r="B184" s="293" t="s">
        <v>432</v>
      </c>
      <c r="C184" s="293"/>
      <c r="D184" s="293"/>
      <c r="E184" s="293"/>
      <c r="F184" s="293"/>
      <c r="G184" s="293"/>
      <c r="H184" s="293"/>
      <c r="I184" s="109"/>
      <c r="J184" s="2"/>
      <c r="K184" s="111"/>
      <c r="L184" s="310"/>
      <c r="M184" s="311"/>
      <c r="N184" s="310"/>
      <c r="O184" s="311"/>
      <c r="P184" s="310"/>
      <c r="Q184" s="311"/>
      <c r="R184" s="310"/>
      <c r="S184" s="311"/>
    </row>
    <row r="185" spans="1:19" ht="21.5" hidden="1" customHeight="1" x14ac:dyDescent="0.2">
      <c r="A185" s="120"/>
      <c r="B185" s="293" t="s">
        <v>434</v>
      </c>
      <c r="C185" s="293"/>
      <c r="D185" s="293"/>
      <c r="E185" s="293"/>
      <c r="F185" s="293"/>
      <c r="G185" s="293"/>
      <c r="H185" s="293"/>
      <c r="I185" s="109"/>
      <c r="J185" s="2"/>
      <c r="K185" s="111"/>
      <c r="L185" s="310"/>
      <c r="M185" s="311"/>
      <c r="N185" s="310"/>
      <c r="O185" s="311"/>
      <c r="P185" s="310"/>
      <c r="Q185" s="311"/>
      <c r="R185" s="310"/>
      <c r="S185" s="311"/>
    </row>
    <row r="187" spans="1:19" ht="14.5" customHeight="1" x14ac:dyDescent="0.2">
      <c r="F187" s="253" t="s">
        <v>462</v>
      </c>
      <c r="G187" s="253"/>
      <c r="H187" s="253"/>
      <c r="I187" s="253"/>
      <c r="J187" s="253"/>
      <c r="K187" s="253"/>
    </row>
    <row r="188" spans="1:19" x14ac:dyDescent="0.2">
      <c r="F188" s="253" t="s">
        <v>463</v>
      </c>
      <c r="G188" s="253"/>
      <c r="H188" s="253" t="s">
        <v>464</v>
      </c>
      <c r="I188" s="253"/>
      <c r="J188" s="253"/>
      <c r="K188" s="253"/>
    </row>
    <row r="189" spans="1:19" ht="57.5" customHeight="1" x14ac:dyDescent="0.2">
      <c r="A189" s="290" t="s">
        <v>63</v>
      </c>
      <c r="B189" s="290"/>
      <c r="C189" s="290"/>
      <c r="D189" s="290"/>
      <c r="E189" s="290"/>
      <c r="F189" s="289" t="s">
        <v>493</v>
      </c>
      <c r="G189" s="289"/>
      <c r="H189" s="289" t="s">
        <v>466</v>
      </c>
      <c r="I189" s="289"/>
      <c r="J189" s="289"/>
      <c r="K189" s="289"/>
    </row>
    <row r="190" spans="1:19" ht="140.5" customHeight="1" x14ac:dyDescent="0.2">
      <c r="A190" s="290" t="s">
        <v>64</v>
      </c>
      <c r="B190" s="290"/>
      <c r="C190" s="290"/>
      <c r="D190" s="290"/>
      <c r="E190" s="290"/>
      <c r="F190" s="289" t="s">
        <v>467</v>
      </c>
      <c r="G190" s="289"/>
      <c r="H190" s="289" t="s">
        <v>468</v>
      </c>
      <c r="I190" s="289"/>
      <c r="J190" s="289"/>
      <c r="K190" s="289"/>
    </row>
    <row r="191" spans="1:19" ht="44.5" customHeight="1" x14ac:dyDescent="0.2">
      <c r="A191" s="290" t="s">
        <v>65</v>
      </c>
      <c r="B191" s="290"/>
      <c r="C191" s="290"/>
      <c r="D191" s="290"/>
      <c r="E191" s="290"/>
      <c r="F191" s="289" t="s">
        <v>469</v>
      </c>
      <c r="G191" s="289"/>
      <c r="H191" s="289" t="s">
        <v>466</v>
      </c>
      <c r="I191" s="289"/>
      <c r="J191" s="289"/>
      <c r="K191" s="289"/>
    </row>
    <row r="192" spans="1:19" ht="85.75" customHeight="1" x14ac:dyDescent="0.2">
      <c r="A192" s="290" t="s">
        <v>494</v>
      </c>
      <c r="B192" s="290"/>
      <c r="C192" s="290"/>
      <c r="D192" s="290"/>
      <c r="E192" s="290"/>
      <c r="F192" s="289" t="s">
        <v>470</v>
      </c>
      <c r="G192" s="289"/>
      <c r="H192" s="289"/>
      <c r="I192" s="289"/>
      <c r="J192" s="289"/>
      <c r="K192" s="289"/>
    </row>
    <row r="194" spans="7:12" ht="32" x14ac:dyDescent="0.2">
      <c r="G194" s="285" t="s">
        <v>471</v>
      </c>
      <c r="H194" s="286"/>
      <c r="I194" s="151" t="s">
        <v>472</v>
      </c>
    </row>
    <row r="195" spans="7:12" ht="28.75" customHeight="1" x14ac:dyDescent="0.2">
      <c r="G195" s="287" t="s">
        <v>473</v>
      </c>
      <c r="H195" s="288"/>
      <c r="I195" s="154" t="s">
        <v>474</v>
      </c>
    </row>
    <row r="196" spans="7:12" ht="14.5" customHeight="1" x14ac:dyDescent="0.2">
      <c r="G196" s="287" t="s">
        <v>475</v>
      </c>
      <c r="H196" s="288"/>
      <c r="I196" s="155">
        <v>13</v>
      </c>
    </row>
    <row r="197" spans="7:12" ht="14.5" customHeight="1" x14ac:dyDescent="0.2">
      <c r="G197" s="287" t="s">
        <v>476</v>
      </c>
      <c r="H197" s="288"/>
      <c r="I197" s="155">
        <v>27</v>
      </c>
    </row>
    <row r="198" spans="7:12" ht="34.25" customHeight="1" x14ac:dyDescent="0.2">
      <c r="G198" s="287" t="s">
        <v>477</v>
      </c>
      <c r="H198" s="288"/>
      <c r="I198" s="155">
        <v>28</v>
      </c>
    </row>
    <row r="200" spans="7:12" x14ac:dyDescent="0.2">
      <c r="G200" s="283" t="s">
        <v>478</v>
      </c>
      <c r="H200" s="283"/>
      <c r="I200" s="283"/>
      <c r="J200" s="283"/>
      <c r="K200" s="283"/>
      <c r="L200" s="282" t="s">
        <v>479</v>
      </c>
    </row>
    <row r="201" spans="7:12" x14ac:dyDescent="0.2">
      <c r="G201" s="284" t="s">
        <v>480</v>
      </c>
      <c r="H201" s="284"/>
      <c r="I201" s="284"/>
      <c r="J201" s="284"/>
      <c r="K201" s="284"/>
      <c r="L201" s="282"/>
    </row>
    <row r="202" spans="7:12" ht="64" x14ac:dyDescent="0.2">
      <c r="G202" s="156" t="s">
        <v>488</v>
      </c>
      <c r="H202" s="282" t="s">
        <v>489</v>
      </c>
      <c r="I202" s="282" t="s">
        <v>490</v>
      </c>
      <c r="J202" s="282" t="s">
        <v>481</v>
      </c>
      <c r="K202" s="282" t="s">
        <v>491</v>
      </c>
      <c r="L202" s="282"/>
    </row>
    <row r="203" spans="7:12" ht="63.5" customHeight="1" x14ac:dyDescent="0.2">
      <c r="G203" s="157" t="s">
        <v>482</v>
      </c>
      <c r="H203" s="282"/>
      <c r="I203" s="282"/>
      <c r="J203" s="282"/>
      <c r="K203" s="282"/>
      <c r="L203" s="282"/>
    </row>
    <row r="204" spans="7:12" ht="16" x14ac:dyDescent="0.2">
      <c r="G204" s="282" t="s">
        <v>483</v>
      </c>
      <c r="H204" s="282">
        <v>5</v>
      </c>
      <c r="I204" s="282">
        <v>26</v>
      </c>
      <c r="J204" s="282">
        <v>30</v>
      </c>
      <c r="K204" s="282" t="s">
        <v>484</v>
      </c>
      <c r="L204" s="156" t="s">
        <v>485</v>
      </c>
    </row>
    <row r="205" spans="7:12" ht="16" x14ac:dyDescent="0.2">
      <c r="G205" s="282"/>
      <c r="H205" s="282"/>
      <c r="I205" s="282"/>
      <c r="J205" s="282"/>
      <c r="K205" s="282"/>
      <c r="L205" s="156" t="s">
        <v>486</v>
      </c>
    </row>
    <row r="206" spans="7:12" ht="16" x14ac:dyDescent="0.2">
      <c r="G206" s="282"/>
      <c r="H206" s="282"/>
      <c r="I206" s="282"/>
      <c r="J206" s="282"/>
      <c r="K206" s="282"/>
      <c r="L206" s="156" t="s">
        <v>487</v>
      </c>
    </row>
  </sheetData>
  <mergeCells count="846">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 ref="R182:S182"/>
    <mergeCell ref="R183:S183"/>
    <mergeCell ref="R155:S155"/>
    <mergeCell ref="R156:S156"/>
    <mergeCell ref="R157:S157"/>
    <mergeCell ref="R161:S161"/>
    <mergeCell ref="R162:S162"/>
    <mergeCell ref="R164:S164"/>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N185:O185"/>
    <mergeCell ref="P185:Q185"/>
    <mergeCell ref="N184:O184"/>
    <mergeCell ref="P184:Q184"/>
    <mergeCell ref="N183:O183"/>
    <mergeCell ref="P183:Q183"/>
    <mergeCell ref="N180:O180"/>
    <mergeCell ref="P180:Q180"/>
    <mergeCell ref="N181:O181"/>
    <mergeCell ref="P181:Q181"/>
    <mergeCell ref="N182:O182"/>
    <mergeCell ref="P182:Q182"/>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R51:S51"/>
    <mergeCell ref="R52:S52"/>
    <mergeCell ref="P50:Q50"/>
    <mergeCell ref="L57:M57"/>
    <mergeCell ref="L58:M58"/>
    <mergeCell ref="N57:O57"/>
    <mergeCell ref="N58:O58"/>
    <mergeCell ref="P57:Q57"/>
    <mergeCell ref="P58:Q58"/>
    <mergeCell ref="R57:S57"/>
    <mergeCell ref="R58:S58"/>
    <mergeCell ref="L33:M33"/>
    <mergeCell ref="L46:M46"/>
    <mergeCell ref="L47:M47"/>
    <mergeCell ref="L51:M51"/>
    <mergeCell ref="L52:M52"/>
    <mergeCell ref="N51:O51"/>
    <mergeCell ref="N52:O52"/>
    <mergeCell ref="P51:Q51"/>
    <mergeCell ref="P52:Q52"/>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T84:T91"/>
    <mergeCell ref="T92:T96"/>
    <mergeCell ref="T97:T103"/>
    <mergeCell ref="T104:T110"/>
    <mergeCell ref="T111:T115"/>
    <mergeCell ref="T116:T119"/>
    <mergeCell ref="T120:T125"/>
    <mergeCell ref="T126:T130"/>
    <mergeCell ref="T131:T13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5:A10"/>
    <mergeCell ref="B5:B10"/>
    <mergeCell ref="C5:C10"/>
    <mergeCell ref="D5:D10"/>
    <mergeCell ref="E5:E10"/>
    <mergeCell ref="G5:G10"/>
    <mergeCell ref="H5:H10"/>
    <mergeCell ref="I5:I10"/>
    <mergeCell ref="J5:J10"/>
    <mergeCell ref="F5:F6"/>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A46:A50"/>
    <mergeCell ref="G46:G50"/>
    <mergeCell ref="H46:H50"/>
    <mergeCell ref="I46:I50"/>
    <mergeCell ref="J46:J50"/>
    <mergeCell ref="F46:F47"/>
    <mergeCell ref="F41:F42"/>
    <mergeCell ref="E41:E45"/>
    <mergeCell ref="B46:B50"/>
    <mergeCell ref="G41:G45"/>
    <mergeCell ref="H41:H45"/>
    <mergeCell ref="I41:I45"/>
    <mergeCell ref="J41:J45"/>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36:A140"/>
    <mergeCell ref="B136:B140"/>
    <mergeCell ref="C136:C140"/>
    <mergeCell ref="D136:D140"/>
    <mergeCell ref="E136:E140"/>
    <mergeCell ref="G136:G140"/>
    <mergeCell ref="H136:H140"/>
    <mergeCell ref="I136:I140"/>
    <mergeCell ref="J136:J140"/>
    <mergeCell ref="F136:F137"/>
    <mergeCell ref="A141:A144"/>
    <mergeCell ref="B141:B144"/>
    <mergeCell ref="C141:C144"/>
    <mergeCell ref="D141:D144"/>
    <mergeCell ref="E141:E144"/>
    <mergeCell ref="H141:H144"/>
    <mergeCell ref="G141:G144"/>
    <mergeCell ref="I141:I144"/>
    <mergeCell ref="J141:J144"/>
    <mergeCell ref="F141:F142"/>
    <mergeCell ref="A145:A148"/>
    <mergeCell ref="B145:B148"/>
    <mergeCell ref="C145:C148"/>
    <mergeCell ref="D145:D148"/>
    <mergeCell ref="E145:E148"/>
    <mergeCell ref="G145:G148"/>
    <mergeCell ref="H145:H148"/>
    <mergeCell ref="I145:I148"/>
    <mergeCell ref="J145:J148"/>
    <mergeCell ref="F145:F146"/>
    <mergeCell ref="A149:A152"/>
    <mergeCell ref="B149:B152"/>
    <mergeCell ref="C149:C152"/>
    <mergeCell ref="D149:D152"/>
    <mergeCell ref="E149:E152"/>
    <mergeCell ref="G149:G152"/>
    <mergeCell ref="H149:H152"/>
    <mergeCell ref="I149:I152"/>
    <mergeCell ref="J149:J152"/>
    <mergeCell ref="F149:F150"/>
    <mergeCell ref="A153:A160"/>
    <mergeCell ref="B153:B160"/>
    <mergeCell ref="C153:C160"/>
    <mergeCell ref="D153:D160"/>
    <mergeCell ref="E153:E160"/>
    <mergeCell ref="G153:G160"/>
    <mergeCell ref="H153:H160"/>
    <mergeCell ref="I153:I160"/>
    <mergeCell ref="J153:J160"/>
    <mergeCell ref="F153:F157"/>
    <mergeCell ref="D164:D166"/>
    <mergeCell ref="E164:E166"/>
    <mergeCell ref="G164:G166"/>
    <mergeCell ref="H164:H166"/>
    <mergeCell ref="I164:I166"/>
    <mergeCell ref="B167:B169"/>
    <mergeCell ref="C167:C169"/>
    <mergeCell ref="D167:D169"/>
    <mergeCell ref="E167:E169"/>
    <mergeCell ref="I167:I169"/>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16" sqref="C16"/>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28">
        <f>OPAC!B12</f>
        <v>0</v>
      </c>
      <c r="E10" s="329"/>
      <c r="F10" s="330"/>
    </row>
    <row r="11" spans="2:7" ht="19.25" customHeight="1" x14ac:dyDescent="0.2">
      <c r="B11" s="22" t="s">
        <v>116</v>
      </c>
      <c r="C11" s="26"/>
      <c r="D11" s="331" t="str">
        <f>IF('OPAC multisite'!F11="","",'OPAC multisite'!F11)</f>
        <v/>
      </c>
      <c r="E11" s="332"/>
      <c r="F11" s="333"/>
    </row>
    <row r="12" spans="2:7" ht="19.25" customHeight="1" thickBot="1" x14ac:dyDescent="0.25">
      <c r="B12" s="23" t="s">
        <v>28</v>
      </c>
      <c r="C12" s="27"/>
      <c r="D12" s="334" t="str">
        <f>'Rapport d''audit'!B3</f>
        <v>V1 : CNEFOP, Formation, BC, VAE, CFA</v>
      </c>
      <c r="E12" s="335"/>
      <c r="F12" s="336"/>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7" t="s">
        <v>76</v>
      </c>
      <c r="C4" s="337"/>
      <c r="D4" s="337"/>
      <c r="E4" s="337"/>
      <c r="F4" s="337"/>
      <c r="H4" s="55" t="s">
        <v>79</v>
      </c>
      <c r="I4" s="50"/>
    </row>
    <row r="5" spans="1:9" ht="40.25" customHeight="1" x14ac:dyDescent="0.2">
      <c r="A5" s="53" t="s">
        <v>82</v>
      </c>
      <c r="B5" s="338" t="s">
        <v>77</v>
      </c>
      <c r="C5" s="338"/>
      <c r="D5" s="338"/>
      <c r="E5" s="338"/>
      <c r="F5" s="338"/>
      <c r="H5" s="53" t="s">
        <v>82</v>
      </c>
      <c r="I5" s="56" t="s">
        <v>83</v>
      </c>
    </row>
    <row r="6" spans="1:9" ht="49.25" customHeight="1" x14ac:dyDescent="0.2">
      <c r="A6" s="53" t="s">
        <v>82</v>
      </c>
      <c r="B6" s="337" t="s">
        <v>267</v>
      </c>
      <c r="C6" s="337"/>
      <c r="D6" s="337"/>
      <c r="E6" s="337"/>
      <c r="F6" s="337"/>
      <c r="H6" s="53" t="s">
        <v>82</v>
      </c>
      <c r="I6" s="57" t="s">
        <v>271</v>
      </c>
    </row>
    <row r="7" spans="1:9" ht="45.5" customHeight="1" x14ac:dyDescent="0.2">
      <c r="A7" s="53" t="s">
        <v>82</v>
      </c>
      <c r="B7" s="338" t="s">
        <v>268</v>
      </c>
      <c r="C7" s="338"/>
      <c r="D7" s="338"/>
      <c r="E7" s="338"/>
      <c r="F7" s="338"/>
      <c r="G7" s="51"/>
      <c r="H7" s="53" t="s">
        <v>82</v>
      </c>
      <c r="I7" s="56" t="s">
        <v>272</v>
      </c>
    </row>
    <row r="8" spans="1:9" ht="26.5" customHeight="1" x14ac:dyDescent="0.2">
      <c r="A8" s="53" t="s">
        <v>82</v>
      </c>
      <c r="B8" s="337" t="s">
        <v>269</v>
      </c>
      <c r="C8" s="337"/>
      <c r="D8" s="337"/>
      <c r="E8" s="337"/>
      <c r="F8" s="337"/>
    </row>
    <row r="9" spans="1:9" ht="26.5" customHeight="1" x14ac:dyDescent="0.2">
      <c r="A9" s="53" t="s">
        <v>82</v>
      </c>
      <c r="B9" s="58" t="s">
        <v>270</v>
      </c>
      <c r="C9" s="59"/>
      <c r="D9" s="59"/>
      <c r="E9" s="59"/>
      <c r="F9" s="59"/>
      <c r="H9" s="55" t="s">
        <v>80</v>
      </c>
      <c r="I9" s="50"/>
    </row>
    <row r="10" spans="1:9" ht="39.5" customHeight="1" x14ac:dyDescent="0.2">
      <c r="B10" t="s">
        <v>266</v>
      </c>
      <c r="C10" s="50"/>
      <c r="D10" s="50"/>
      <c r="E10" s="50"/>
      <c r="F10" s="50"/>
      <c r="H10" s="53" t="s">
        <v>82</v>
      </c>
      <c r="I10" s="56" t="s">
        <v>273</v>
      </c>
    </row>
    <row r="11" spans="1:9" ht="51" customHeight="1" x14ac:dyDescent="0.2">
      <c r="H11" s="53" t="s">
        <v>82</v>
      </c>
      <c r="I11" s="57" t="s">
        <v>274</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topLeftCell="A19" workbookViewId="0">
      <selection activeCell="A17" sqref="A17:G17"/>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40">
        <f>OPAC!B12</f>
        <v>0</v>
      </c>
      <c r="E8" s="341"/>
      <c r="F8" s="342"/>
    </row>
    <row r="9" spans="1:7" ht="27" customHeight="1" x14ac:dyDescent="0.2">
      <c r="B9" s="30"/>
      <c r="C9" s="30"/>
      <c r="D9" s="34"/>
    </row>
    <row r="10" spans="1:7" ht="16" thickBot="1" x14ac:dyDescent="0.25"/>
    <row r="11" spans="1:7" ht="28.25" customHeight="1" x14ac:dyDescent="0.2">
      <c r="A11" s="38" t="s">
        <v>40</v>
      </c>
      <c r="B11" s="343">
        <f>OPAC!F8</f>
        <v>0</v>
      </c>
      <c r="C11" s="343"/>
      <c r="D11" s="35" t="s">
        <v>41</v>
      </c>
      <c r="E11" s="343">
        <f>OPAC!B12</f>
        <v>0</v>
      </c>
      <c r="F11" s="343"/>
      <c r="G11" s="344"/>
    </row>
    <row r="12" spans="1:7" ht="28.25" customHeight="1" x14ac:dyDescent="0.2">
      <c r="A12" s="36" t="s">
        <v>39</v>
      </c>
      <c r="B12" s="293"/>
      <c r="C12" s="293"/>
      <c r="D12" s="2" t="s">
        <v>42</v>
      </c>
      <c r="E12" s="250">
        <f>OPAC!B12</f>
        <v>0</v>
      </c>
      <c r="F12" s="250"/>
      <c r="G12" s="339"/>
    </row>
    <row r="13" spans="1:7" ht="42" customHeight="1" x14ac:dyDescent="0.2">
      <c r="A13" s="33" t="s">
        <v>118</v>
      </c>
      <c r="B13" s="250"/>
      <c r="C13" s="250"/>
      <c r="D13" s="250"/>
      <c r="E13" s="250"/>
      <c r="F13" s="250"/>
      <c r="G13" s="339"/>
    </row>
    <row r="14" spans="1:7" ht="45.5" customHeight="1" thickBot="1" x14ac:dyDescent="0.25">
      <c r="A14" s="39" t="s">
        <v>119</v>
      </c>
      <c r="B14" s="350"/>
      <c r="C14" s="350"/>
      <c r="D14" s="350"/>
      <c r="E14" s="350"/>
      <c r="F14" s="350"/>
      <c r="G14" s="351"/>
    </row>
    <row r="15" spans="1:7" ht="22.75" customHeight="1" thickBot="1" x14ac:dyDescent="0.25"/>
    <row r="16" spans="1:7" ht="15" customHeight="1" thickBot="1" x14ac:dyDescent="0.25">
      <c r="A16" s="352" t="s">
        <v>43</v>
      </c>
      <c r="B16" s="353"/>
      <c r="C16" s="353"/>
      <c r="D16" s="353"/>
      <c r="E16" s="353"/>
      <c r="F16" s="353"/>
      <c r="G16" s="354"/>
    </row>
    <row r="17" spans="1:7" ht="15" customHeight="1" thickBot="1" x14ac:dyDescent="0.25">
      <c r="A17" s="355" t="s">
        <v>120</v>
      </c>
      <c r="B17" s="356"/>
      <c r="C17" s="356"/>
      <c r="D17" s="356"/>
      <c r="E17" s="356"/>
      <c r="F17" s="356"/>
      <c r="G17" s="357"/>
    </row>
    <row r="18" spans="1:7" ht="56.5" customHeight="1" x14ac:dyDescent="0.2">
      <c r="A18" s="358"/>
      <c r="B18" s="182"/>
      <c r="C18" s="182"/>
      <c r="D18" s="182"/>
      <c r="E18" s="182"/>
      <c r="F18" s="182"/>
      <c r="G18" s="183"/>
    </row>
    <row r="19" spans="1:7" ht="56.5" customHeight="1" x14ac:dyDescent="0.2">
      <c r="A19" s="359"/>
      <c r="B19" s="184"/>
      <c r="C19" s="184"/>
      <c r="D19" s="184"/>
      <c r="E19" s="184"/>
      <c r="F19" s="184"/>
      <c r="G19" s="185"/>
    </row>
    <row r="20" spans="1:7" ht="56.5" customHeight="1" x14ac:dyDescent="0.2">
      <c r="A20" s="359"/>
      <c r="B20" s="184"/>
      <c r="C20" s="184"/>
      <c r="D20" s="184"/>
      <c r="E20" s="184"/>
      <c r="F20" s="184"/>
      <c r="G20" s="185"/>
    </row>
    <row r="21" spans="1:7" ht="56.5" customHeight="1" thickBot="1" x14ac:dyDescent="0.25">
      <c r="A21" s="360"/>
      <c r="B21" s="186"/>
      <c r="C21" s="186"/>
      <c r="D21" s="186"/>
      <c r="E21" s="186"/>
      <c r="F21" s="186"/>
      <c r="G21" s="187"/>
    </row>
    <row r="22" spans="1:7" ht="22.75" customHeight="1" thickBot="1" x14ac:dyDescent="0.25">
      <c r="A22" s="37" t="s">
        <v>45</v>
      </c>
      <c r="B22" s="361">
        <f>OPAC!B6</f>
        <v>0</v>
      </c>
      <c r="C22" s="318"/>
      <c r="D22" s="37" t="s">
        <v>46</v>
      </c>
      <c r="E22" s="316">
        <f>OPAC!F8</f>
        <v>0</v>
      </c>
      <c r="F22" s="317"/>
      <c r="G22" s="318"/>
    </row>
    <row r="23" spans="1:7" ht="24" customHeight="1" thickBot="1" x14ac:dyDescent="0.25">
      <c r="A23" s="40"/>
      <c r="D23" s="40"/>
    </row>
    <row r="24" spans="1:7" ht="15" customHeight="1" thickBot="1" x14ac:dyDescent="0.25">
      <c r="A24" s="362" t="s">
        <v>47</v>
      </c>
      <c r="B24" s="363"/>
      <c r="C24" s="363"/>
      <c r="D24" s="363"/>
      <c r="E24" s="363"/>
      <c r="F24" s="363"/>
      <c r="G24" s="364"/>
    </row>
    <row r="25" spans="1:7" ht="15" customHeight="1" thickBot="1" x14ac:dyDescent="0.25">
      <c r="A25" s="365" t="s">
        <v>71</v>
      </c>
      <c r="B25" s="366"/>
      <c r="C25" s="366"/>
      <c r="D25" s="366"/>
      <c r="E25" s="366"/>
      <c r="F25" s="366"/>
      <c r="G25" s="367"/>
    </row>
    <row r="26" spans="1:7" ht="42.5" customHeight="1" x14ac:dyDescent="0.2">
      <c r="A26" s="358"/>
      <c r="B26" s="182"/>
      <c r="C26" s="182"/>
      <c r="D26" s="182"/>
      <c r="E26" s="182"/>
      <c r="F26" s="182"/>
      <c r="G26" s="183"/>
    </row>
    <row r="27" spans="1:7" ht="42.5" customHeight="1" x14ac:dyDescent="0.2">
      <c r="A27" s="359"/>
      <c r="B27" s="184"/>
      <c r="C27" s="184"/>
      <c r="D27" s="184"/>
      <c r="E27" s="184"/>
      <c r="F27" s="184"/>
      <c r="G27" s="185"/>
    </row>
    <row r="28" spans="1:7" ht="42.5" customHeight="1" x14ac:dyDescent="0.2">
      <c r="A28" s="359"/>
      <c r="B28" s="184"/>
      <c r="C28" s="184"/>
      <c r="D28" s="184"/>
      <c r="E28" s="184"/>
      <c r="F28" s="184"/>
      <c r="G28" s="185"/>
    </row>
    <row r="29" spans="1:7" ht="42.5" customHeight="1" thickBot="1" x14ac:dyDescent="0.25">
      <c r="A29" s="360"/>
      <c r="B29" s="186"/>
      <c r="C29" s="186"/>
      <c r="D29" s="186"/>
      <c r="E29" s="186"/>
      <c r="F29" s="186"/>
      <c r="G29" s="187"/>
    </row>
    <row r="30" spans="1:7" ht="28.75" customHeight="1" thickBot="1" x14ac:dyDescent="0.25">
      <c r="A30" s="368" t="s">
        <v>72</v>
      </c>
      <c r="B30" s="369"/>
      <c r="C30" s="369"/>
      <c r="D30" s="369"/>
      <c r="E30" s="369"/>
      <c r="F30" s="369"/>
      <c r="G30" s="370"/>
    </row>
    <row r="31" spans="1:7" ht="42.5" customHeight="1" x14ac:dyDescent="0.2">
      <c r="A31" s="358"/>
      <c r="B31" s="182"/>
      <c r="C31" s="182"/>
      <c r="D31" s="182"/>
      <c r="E31" s="182"/>
      <c r="F31" s="182"/>
      <c r="G31" s="183"/>
    </row>
    <row r="32" spans="1:7" ht="42.5" customHeight="1" x14ac:dyDescent="0.2">
      <c r="A32" s="359"/>
      <c r="B32" s="184"/>
      <c r="C32" s="184"/>
      <c r="D32" s="184"/>
      <c r="E32" s="184"/>
      <c r="F32" s="184"/>
      <c r="G32" s="185"/>
    </row>
    <row r="33" spans="1:7" ht="42.5" customHeight="1" thickBot="1" x14ac:dyDescent="0.25">
      <c r="A33" s="360"/>
      <c r="B33" s="186"/>
      <c r="C33" s="186"/>
      <c r="D33" s="186"/>
      <c r="E33" s="186"/>
      <c r="F33" s="186"/>
      <c r="G33" s="187"/>
    </row>
    <row r="34" spans="1:7" ht="22.75" customHeight="1" thickBot="1" x14ac:dyDescent="0.25">
      <c r="A34" s="345" t="s">
        <v>48</v>
      </c>
      <c r="B34" s="346"/>
      <c r="C34" s="347"/>
      <c r="D34" s="348"/>
      <c r="E34" s="348"/>
      <c r="F34" s="348"/>
      <c r="G34" s="349"/>
    </row>
    <row r="35" spans="1:7" ht="22.75" customHeight="1" thickBot="1" x14ac:dyDescent="0.25">
      <c r="A35" s="37" t="s">
        <v>45</v>
      </c>
      <c r="B35" s="316"/>
      <c r="C35" s="318"/>
      <c r="D35" s="37" t="s">
        <v>46</v>
      </c>
      <c r="E35" s="316"/>
      <c r="F35" s="317"/>
      <c r="G35" s="318"/>
    </row>
    <row r="36" spans="1:7" ht="22.75" customHeight="1" thickBot="1" x14ac:dyDescent="0.25"/>
    <row r="37" spans="1:7" ht="15" customHeight="1" thickBot="1" x14ac:dyDescent="0.25">
      <c r="A37" s="352" t="s">
        <v>49</v>
      </c>
      <c r="B37" s="353"/>
      <c r="C37" s="353"/>
      <c r="D37" s="353"/>
      <c r="E37" s="353"/>
      <c r="F37" s="353"/>
      <c r="G37" s="354"/>
    </row>
    <row r="38" spans="1:7" ht="22.75" customHeight="1" x14ac:dyDescent="0.2">
      <c r="A38" s="371" t="s">
        <v>73</v>
      </c>
      <c r="B38" s="343"/>
      <c r="C38" s="343"/>
      <c r="D38" s="343"/>
      <c r="E38" s="343" t="s">
        <v>50</v>
      </c>
      <c r="F38" s="343"/>
      <c r="G38" s="344"/>
    </row>
    <row r="39" spans="1:7" ht="22.75" customHeight="1" thickBot="1" x14ac:dyDescent="0.25">
      <c r="A39" s="372"/>
      <c r="B39" s="350"/>
      <c r="C39" s="350"/>
      <c r="D39" s="350"/>
      <c r="E39" s="350" t="s">
        <v>51</v>
      </c>
      <c r="F39" s="350"/>
      <c r="G39" s="351"/>
    </row>
    <row r="40" spans="1:7" ht="16" thickBot="1" x14ac:dyDescent="0.25">
      <c r="A40" s="368" t="s">
        <v>74</v>
      </c>
      <c r="B40" s="369"/>
      <c r="C40" s="369"/>
      <c r="D40" s="369"/>
      <c r="E40" s="369"/>
      <c r="F40" s="369"/>
      <c r="G40" s="370"/>
    </row>
    <row r="41" spans="1:7" ht="42.5" customHeight="1" x14ac:dyDescent="0.2">
      <c r="A41" s="358"/>
      <c r="B41" s="182"/>
      <c r="C41" s="182"/>
      <c r="D41" s="182"/>
      <c r="E41" s="182"/>
      <c r="F41" s="182"/>
      <c r="G41" s="183"/>
    </row>
    <row r="42" spans="1:7" ht="42.5" customHeight="1" x14ac:dyDescent="0.2">
      <c r="A42" s="359"/>
      <c r="B42" s="184"/>
      <c r="C42" s="184"/>
      <c r="D42" s="184"/>
      <c r="E42" s="184"/>
      <c r="F42" s="184"/>
      <c r="G42" s="185"/>
    </row>
    <row r="43" spans="1:7" ht="42.5" customHeight="1" thickBot="1" x14ac:dyDescent="0.25">
      <c r="A43" s="360"/>
      <c r="B43" s="186"/>
      <c r="C43" s="186"/>
      <c r="D43" s="186"/>
      <c r="E43" s="186"/>
      <c r="F43" s="186"/>
      <c r="G43" s="187"/>
    </row>
    <row r="44" spans="1:7" ht="22.75" customHeight="1" thickBot="1" x14ac:dyDescent="0.25">
      <c r="A44" s="37" t="s">
        <v>45</v>
      </c>
      <c r="B44" s="316"/>
      <c r="C44" s="318"/>
      <c r="D44" s="37" t="s">
        <v>46</v>
      </c>
      <c r="E44" s="316">
        <f>OPAC!F8</f>
        <v>0</v>
      </c>
      <c r="F44" s="317"/>
      <c r="G44" s="318"/>
    </row>
    <row r="45" spans="1:7" ht="48.5" customHeight="1" x14ac:dyDescent="0.2">
      <c r="A45" s="40"/>
      <c r="B45" s="40"/>
    </row>
  </sheetData>
  <mergeCells count="29">
    <mergeCell ref="A40:G40"/>
    <mergeCell ref="A41:G43"/>
    <mergeCell ref="B44:C44"/>
    <mergeCell ref="E44:G44"/>
    <mergeCell ref="B35:C35"/>
    <mergeCell ref="E35:G35"/>
    <mergeCell ref="A37:G37"/>
    <mergeCell ref="A38:D39"/>
    <mergeCell ref="E38:G38"/>
    <mergeCell ref="E39:G39"/>
    <mergeCell ref="A34:B34"/>
    <mergeCell ref="C34:G34"/>
    <mergeCell ref="B14:G14"/>
    <mergeCell ref="A16:G16"/>
    <mergeCell ref="A17:G17"/>
    <mergeCell ref="A18:G21"/>
    <mergeCell ref="B22:C22"/>
    <mergeCell ref="E22:G22"/>
    <mergeCell ref="A24:G24"/>
    <mergeCell ref="A25:G25"/>
    <mergeCell ref="A26:G29"/>
    <mergeCell ref="A30:G30"/>
    <mergeCell ref="A31:G33"/>
    <mergeCell ref="B13:G13"/>
    <mergeCell ref="D8:F8"/>
    <mergeCell ref="B11:C11"/>
    <mergeCell ref="E11:G11"/>
    <mergeCell ref="B12:C12"/>
    <mergeCell ref="E12:G12"/>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12" zoomScaleNormal="100" workbookViewId="0">
      <selection activeCell="K20" sqref="K20"/>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40">
        <f>OPAC!B12</f>
        <v>0</v>
      </c>
      <c r="E9" s="341"/>
      <c r="F9" s="342"/>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3">
        <f>OPAC!F8</f>
        <v>0</v>
      </c>
      <c r="C13" s="343"/>
      <c r="D13" s="35" t="s">
        <v>41</v>
      </c>
      <c r="E13" s="343">
        <f>OPAC!B21</f>
        <v>0</v>
      </c>
      <c r="F13" s="343"/>
      <c r="G13" s="344"/>
    </row>
    <row r="14" spans="1:7" ht="28.25" customHeight="1" x14ac:dyDescent="0.2">
      <c r="A14" s="36" t="s">
        <v>39</v>
      </c>
      <c r="B14" s="293" t="str">
        <f>'Rapport d''audit'!B3</f>
        <v>V1 : CNEFOP, Formation, BC, VAE, CFA</v>
      </c>
      <c r="C14" s="293"/>
      <c r="D14" s="2" t="s">
        <v>42</v>
      </c>
      <c r="E14" s="250" t="str">
        <f>OPAC!B13 &amp; " " &amp; OPAC!B14 &amp; " " &amp; OPAC!B15</f>
        <v xml:space="preserve">  </v>
      </c>
      <c r="F14" s="250"/>
      <c r="G14" s="339"/>
    </row>
    <row r="15" spans="1:7" ht="42" customHeight="1" x14ac:dyDescent="0.2">
      <c r="A15" s="36" t="s">
        <v>52</v>
      </c>
      <c r="B15" s="250"/>
      <c r="C15" s="250"/>
      <c r="D15" s="250"/>
      <c r="E15" s="250"/>
      <c r="F15" s="250"/>
      <c r="G15" s="339"/>
    </row>
    <row r="16" spans="1:7" ht="45.5" customHeight="1" thickBot="1" x14ac:dyDescent="0.25">
      <c r="A16" s="39" t="s">
        <v>55</v>
      </c>
      <c r="B16" s="350"/>
      <c r="C16" s="350"/>
      <c r="D16" s="350"/>
      <c r="E16" s="350"/>
      <c r="F16" s="350"/>
      <c r="G16" s="351"/>
    </row>
    <row r="17" spans="1:11" ht="22.75" customHeight="1" thickBot="1" x14ac:dyDescent="0.25"/>
    <row r="18" spans="1:11" ht="15" customHeight="1" thickBot="1" x14ac:dyDescent="0.25">
      <c r="A18" s="352" t="s">
        <v>43</v>
      </c>
      <c r="B18" s="353"/>
      <c r="C18" s="353"/>
      <c r="D18" s="353"/>
      <c r="E18" s="353"/>
      <c r="F18" s="353"/>
      <c r="G18" s="354"/>
    </row>
    <row r="19" spans="1:11" ht="15" customHeight="1" thickBot="1" x14ac:dyDescent="0.25">
      <c r="A19" s="355" t="s">
        <v>44</v>
      </c>
      <c r="B19" s="356"/>
      <c r="C19" s="356"/>
      <c r="D19" s="356"/>
      <c r="E19" s="356"/>
      <c r="F19" s="356"/>
      <c r="G19" s="357"/>
    </row>
    <row r="20" spans="1:11" ht="56.5" customHeight="1" x14ac:dyDescent="0.2">
      <c r="A20" s="373" t="s">
        <v>125</v>
      </c>
      <c r="B20" s="374"/>
      <c r="C20" s="375"/>
      <c r="D20" s="375"/>
      <c r="E20" s="375"/>
      <c r="F20" s="375"/>
      <c r="G20" s="86"/>
      <c r="H20" s="141" t="b">
        <v>0</v>
      </c>
      <c r="I20" s="141" t="b">
        <v>0</v>
      </c>
      <c r="J20" s="141" t="b">
        <v>0</v>
      </c>
      <c r="K20" s="141" t="b">
        <v>0</v>
      </c>
    </row>
    <row r="21" spans="1:11" ht="56.5" customHeight="1" x14ac:dyDescent="0.2">
      <c r="A21" s="376" t="s">
        <v>253</v>
      </c>
      <c r="B21" s="377"/>
      <c r="C21" s="377"/>
      <c r="D21" s="377"/>
      <c r="E21" s="377"/>
      <c r="F21" s="377"/>
      <c r="G21" s="378"/>
    </row>
    <row r="22" spans="1:11" ht="56.5" customHeight="1" x14ac:dyDescent="0.2">
      <c r="A22" s="376" t="s">
        <v>123</v>
      </c>
      <c r="B22" s="377"/>
      <c r="C22" s="377"/>
      <c r="D22" s="377"/>
      <c r="E22" s="377"/>
      <c r="F22" s="377"/>
      <c r="G22" s="378"/>
    </row>
    <row r="23" spans="1:11" ht="56.5" customHeight="1" thickBot="1" x14ac:dyDescent="0.25">
      <c r="A23" s="379" t="s">
        <v>124</v>
      </c>
      <c r="B23" s="380"/>
      <c r="C23" s="380"/>
      <c r="D23" s="380"/>
      <c r="E23" s="380"/>
      <c r="F23" s="380"/>
      <c r="G23" s="381"/>
    </row>
    <row r="24" spans="1:11" ht="22.75" customHeight="1" thickBot="1" x14ac:dyDescent="0.25">
      <c r="A24" s="37" t="s">
        <v>45</v>
      </c>
      <c r="B24" s="361">
        <f>OPAC!B7</f>
        <v>0</v>
      </c>
      <c r="C24" s="318"/>
      <c r="D24" s="37" t="s">
        <v>46</v>
      </c>
      <c r="E24" s="316">
        <f>OPAC!F8</f>
        <v>0</v>
      </c>
      <c r="F24" s="317"/>
      <c r="G24" s="318"/>
    </row>
    <row r="25" spans="1:11" ht="24" customHeight="1" thickBot="1" x14ac:dyDescent="0.25">
      <c r="A25" s="40"/>
      <c r="D25" s="40"/>
    </row>
    <row r="26" spans="1:11" ht="15" customHeight="1" thickBot="1" x14ac:dyDescent="0.25">
      <c r="A26" s="362" t="s">
        <v>47</v>
      </c>
      <c r="B26" s="363"/>
      <c r="C26" s="363"/>
      <c r="D26" s="363"/>
      <c r="E26" s="363"/>
      <c r="F26" s="363"/>
      <c r="G26" s="364"/>
    </row>
    <row r="27" spans="1:11" ht="15" customHeight="1" thickBot="1" x14ac:dyDescent="0.25">
      <c r="A27" s="365" t="s">
        <v>71</v>
      </c>
      <c r="B27" s="366"/>
      <c r="C27" s="366"/>
      <c r="D27" s="366"/>
      <c r="E27" s="366"/>
      <c r="F27" s="366"/>
      <c r="G27" s="367"/>
    </row>
    <row r="28" spans="1:11" ht="42.5" customHeight="1" x14ac:dyDescent="0.2">
      <c r="A28" s="358"/>
      <c r="B28" s="182"/>
      <c r="C28" s="182"/>
      <c r="D28" s="182"/>
      <c r="E28" s="182"/>
      <c r="F28" s="182"/>
      <c r="G28" s="183"/>
    </row>
    <row r="29" spans="1:11" ht="42.5" customHeight="1" x14ac:dyDescent="0.2">
      <c r="A29" s="359"/>
      <c r="B29" s="184"/>
      <c r="C29" s="184"/>
      <c r="D29" s="184"/>
      <c r="E29" s="184"/>
      <c r="F29" s="184"/>
      <c r="G29" s="185"/>
    </row>
    <row r="30" spans="1:11" ht="42.5" customHeight="1" x14ac:dyDescent="0.2">
      <c r="A30" s="359"/>
      <c r="B30" s="184"/>
      <c r="C30" s="184"/>
      <c r="D30" s="184"/>
      <c r="E30" s="184"/>
      <c r="F30" s="184"/>
      <c r="G30" s="185"/>
    </row>
    <row r="31" spans="1:11" ht="42.5" customHeight="1" thickBot="1" x14ac:dyDescent="0.25">
      <c r="A31" s="360"/>
      <c r="B31" s="186"/>
      <c r="C31" s="186"/>
      <c r="D31" s="186"/>
      <c r="E31" s="186"/>
      <c r="F31" s="186"/>
      <c r="G31" s="187"/>
    </row>
    <row r="32" spans="1:11" ht="28.75" customHeight="1" thickBot="1" x14ac:dyDescent="0.25">
      <c r="A32" s="368" t="s">
        <v>176</v>
      </c>
      <c r="B32" s="369"/>
      <c r="C32" s="369"/>
      <c r="D32" s="369"/>
      <c r="E32" s="369"/>
      <c r="F32" s="369"/>
      <c r="G32" s="370"/>
    </row>
    <row r="33" spans="1:8" ht="42.5" customHeight="1" x14ac:dyDescent="0.2">
      <c r="A33" s="358"/>
      <c r="B33" s="182"/>
      <c r="C33" s="182"/>
      <c r="D33" s="182"/>
      <c r="E33" s="182"/>
      <c r="F33" s="182"/>
      <c r="G33" s="183"/>
    </row>
    <row r="34" spans="1:8" ht="42.5" customHeight="1" x14ac:dyDescent="0.2">
      <c r="A34" s="359"/>
      <c r="B34" s="184"/>
      <c r="C34" s="184"/>
      <c r="D34" s="184"/>
      <c r="E34" s="184"/>
      <c r="F34" s="184"/>
      <c r="G34" s="185"/>
    </row>
    <row r="35" spans="1:8" ht="42.5" customHeight="1" thickBot="1" x14ac:dyDescent="0.25">
      <c r="A35" s="360"/>
      <c r="B35" s="186"/>
      <c r="C35" s="186"/>
      <c r="D35" s="186"/>
      <c r="E35" s="186"/>
      <c r="F35" s="186"/>
      <c r="G35" s="187"/>
    </row>
    <row r="36" spans="1:8" ht="22.75" customHeight="1" thickBot="1" x14ac:dyDescent="0.25">
      <c r="A36" s="345" t="s">
        <v>48</v>
      </c>
      <c r="B36" s="346"/>
      <c r="C36" s="347"/>
      <c r="D36" s="348"/>
      <c r="E36" s="348"/>
      <c r="F36" s="348"/>
      <c r="G36" s="349"/>
    </row>
    <row r="37" spans="1:8" ht="22.75" customHeight="1" thickBot="1" x14ac:dyDescent="0.25">
      <c r="A37" s="37" t="s">
        <v>45</v>
      </c>
      <c r="B37" s="316"/>
      <c r="C37" s="318"/>
      <c r="D37" s="37" t="s">
        <v>46</v>
      </c>
      <c r="E37" s="316"/>
      <c r="F37" s="317"/>
      <c r="G37" s="318"/>
    </row>
    <row r="38" spans="1:8" ht="22.75" customHeight="1" thickBot="1" x14ac:dyDescent="0.25"/>
    <row r="39" spans="1:8" ht="15" customHeight="1" thickBot="1" x14ac:dyDescent="0.25">
      <c r="A39" s="352" t="s">
        <v>49</v>
      </c>
      <c r="B39" s="353"/>
      <c r="C39" s="353"/>
      <c r="D39" s="353"/>
      <c r="E39" s="353"/>
      <c r="F39" s="353"/>
      <c r="G39" s="354"/>
    </row>
    <row r="40" spans="1:8" ht="22.75" customHeight="1" x14ac:dyDescent="0.2">
      <c r="A40" s="371" t="s">
        <v>73</v>
      </c>
      <c r="B40" s="343"/>
      <c r="C40" s="343"/>
      <c r="D40" s="343"/>
      <c r="E40" s="343" t="s">
        <v>50</v>
      </c>
      <c r="F40" s="343"/>
      <c r="G40" s="344"/>
      <c r="H40" s="141" t="b">
        <v>0</v>
      </c>
    </row>
    <row r="41" spans="1:8" ht="22.75" customHeight="1" thickBot="1" x14ac:dyDescent="0.25">
      <c r="A41" s="372"/>
      <c r="B41" s="350"/>
      <c r="C41" s="350"/>
      <c r="D41" s="350"/>
      <c r="E41" s="350" t="s">
        <v>51</v>
      </c>
      <c r="F41" s="350"/>
      <c r="G41" s="351"/>
      <c r="H41" s="141" t="b">
        <v>0</v>
      </c>
    </row>
    <row r="42" spans="1:8" ht="16" thickBot="1" x14ac:dyDescent="0.25">
      <c r="A42" s="368" t="s">
        <v>74</v>
      </c>
      <c r="B42" s="369"/>
      <c r="C42" s="369"/>
      <c r="D42" s="369"/>
      <c r="E42" s="369"/>
      <c r="F42" s="369"/>
      <c r="G42" s="370"/>
    </row>
    <row r="43" spans="1:8" ht="42.5" customHeight="1" x14ac:dyDescent="0.2">
      <c r="A43" s="358"/>
      <c r="B43" s="182"/>
      <c r="C43" s="182"/>
      <c r="D43" s="182"/>
      <c r="E43" s="182"/>
      <c r="F43" s="182"/>
      <c r="G43" s="183"/>
    </row>
    <row r="44" spans="1:8" ht="42.5" customHeight="1" x14ac:dyDescent="0.2">
      <c r="A44" s="359"/>
      <c r="B44" s="184"/>
      <c r="C44" s="184"/>
      <c r="D44" s="184"/>
      <c r="E44" s="184"/>
      <c r="F44" s="184"/>
      <c r="G44" s="185"/>
    </row>
    <row r="45" spans="1:8" ht="42.5" customHeight="1" thickBot="1" x14ac:dyDescent="0.25">
      <c r="A45" s="360"/>
      <c r="B45" s="186"/>
      <c r="C45" s="186"/>
      <c r="D45" s="186"/>
      <c r="E45" s="186"/>
      <c r="F45" s="186"/>
      <c r="G45" s="187"/>
    </row>
    <row r="46" spans="1:8" ht="22.75" customHeight="1" thickBot="1" x14ac:dyDescent="0.25">
      <c r="A46" s="37" t="s">
        <v>45</v>
      </c>
      <c r="B46" s="316"/>
      <c r="C46" s="318"/>
      <c r="D46" s="37" t="s">
        <v>46</v>
      </c>
      <c r="E46" s="316">
        <f>OPAC!F8</f>
        <v>0</v>
      </c>
      <c r="F46" s="317"/>
      <c r="G46" s="318"/>
    </row>
  </sheetData>
  <mergeCells count="33">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 ref="D9:F9"/>
    <mergeCell ref="B13:C13"/>
    <mergeCell ref="B14:C14"/>
    <mergeCell ref="E13:G13"/>
    <mergeCell ref="E14:G14"/>
    <mergeCell ref="E41:G41"/>
    <mergeCell ref="A40:D41"/>
    <mergeCell ref="A28:G31"/>
    <mergeCell ref="A33:G35"/>
    <mergeCell ref="B15:G15"/>
    <mergeCell ref="A39:G39"/>
    <mergeCell ref="E40:G40"/>
    <mergeCell ref="A18:G18"/>
    <mergeCell ref="A19:G19"/>
    <mergeCell ref="B16:G16"/>
    <mergeCell ref="B24:C24"/>
    <mergeCell ref="E24:G24"/>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aseàcocher1_Cliquer"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6</vt:i4>
      </vt:variant>
    </vt:vector>
  </HeadingPairs>
  <TitlesOfParts>
    <vt:vector size="15"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2024-08-31T08:36:15Z</dcterms:modified>
</cp:coreProperties>
</file>