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trlProps/ctrlProp76.xml" ContentType="application/vnd.ms-excel.controlproperties+xml"/>
  <Override PartName="/xl/ctrlProps/ctrlProp77.xml" ContentType="application/vnd.ms-excel.controlproperties+xml"/>
  <Override PartName="/xl/drawings/drawing8.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1"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remillieux/Documents/Proneo/logiciel/data/"/>
    </mc:Choice>
  </mc:AlternateContent>
  <xr:revisionPtr revIDLastSave="0" documentId="13_ncr:1_{D51BA9AA-43F3-6D4D-90B8-E612F7AEBA6A}" xr6:coauthVersionLast="47" xr6:coauthVersionMax="47" xr10:uidLastSave="{00000000-0000-0000-0000-000000000000}"/>
  <bookViews>
    <workbookView xWindow="0" yWindow="500" windowWidth="28800" windowHeight="16300" tabRatio="758" activeTab="7" xr2:uid="{5FDA937F-BA87-4615-AAA8-FB40D236C432}"/>
  </bookViews>
  <sheets>
    <sheet name="Page de garde" sheetId="19" r:id="rId1"/>
    <sheet name="OPAC" sheetId="3" r:id="rId2"/>
    <sheet name="OPAC multisite" sheetId="22" r:id="rId3"/>
    <sheet name="Plan d'audit" sheetId="17" r:id="rId4"/>
    <sheet name="Rapport d'audit" sheetId="9" r:id="rId5"/>
    <sheet name="Feuille de présence" sheetId="10" r:id="rId6"/>
    <sheet name="Traitement des NC" sheetId="15" r:id="rId7"/>
    <sheet name="Fiche NC Maj si 5 Min ou +" sheetId="20" r:id="rId8"/>
    <sheet name="Ex non conformite" sheetId="13" state="hidden" r:id="rId9"/>
  </sheets>
  <definedNames>
    <definedName name="_Hlk497853587" localSheetId="0">'Page de garde'!$A$48</definedName>
    <definedName name="_Hlk508058974" localSheetId="8">'Ex non conformite'!$A$18</definedName>
    <definedName name="_Hlk8916972" localSheetId="8">'Ex non conformite'!$A$24</definedName>
    <definedName name="Ministèere">OPAC!$A$4</definedName>
    <definedName name="Print_Area" localSheetId="6">'Traitement des NC'!$A$1:$I$12</definedName>
    <definedName name="_xlnm.Print_Area" localSheetId="2">'OPAC multisite'!$A$1:$G$23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34" i="3" l="1"/>
  <c r="I33" i="3"/>
  <c r="I32" i="3"/>
  <c r="I31" i="3"/>
  <c r="I30" i="3"/>
  <c r="I29" i="3"/>
  <c r="I28" i="3"/>
  <c r="B10" i="17" l="1"/>
  <c r="I24" i="3"/>
  <c r="I23" i="3"/>
  <c r="I22" i="3"/>
  <c r="I25" i="3"/>
  <c r="C12" i="17" l="1"/>
  <c r="B11" i="20" l="1"/>
  <c r="B6" i="17"/>
  <c r="D11" i="10"/>
  <c r="B2" i="9"/>
  <c r="E17" i="17"/>
  <c r="E30" i="17" s="1"/>
  <c r="D17" i="17"/>
  <c r="D8" i="20"/>
  <c r="E22" i="20"/>
  <c r="B22" i="20"/>
  <c r="E12" i="20"/>
  <c r="E11" i="20"/>
  <c r="E44" i="20"/>
  <c r="D9" i="13"/>
  <c r="D10" i="10"/>
  <c r="B5" i="17"/>
  <c r="A16" i="17"/>
  <c r="B24" i="13"/>
  <c r="B9" i="17"/>
  <c r="E14" i="13"/>
  <c r="E13" i="13"/>
  <c r="D24" i="10"/>
  <c r="D11" i="17"/>
  <c r="B11" i="17"/>
  <c r="D14" i="10"/>
  <c r="B8" i="17"/>
  <c r="E46" i="13"/>
  <c r="E24" i="13"/>
  <c r="D12" i="10"/>
  <c r="B14" i="13"/>
  <c r="B13"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Noel Le Mauff</author>
  </authors>
  <commentList>
    <comment ref="G21" authorId="0" shapeId="0" xr:uid="{0CC29C59-66A2-4EAC-8C75-8B5B6F18739C}">
      <text>
        <r>
          <rPr>
            <b/>
            <sz val="9"/>
            <color rgb="FF000000"/>
            <rFont val="Tahoma"/>
            <family val="2"/>
          </rPr>
          <t xml:space="preserve">Nouvel entrant = première année d'activité ou début d’activité dans une nouvelle catégorie, ce qui se traduit par l’absence de BPF présentant un CA non nul
</t>
        </r>
      </text>
    </comment>
  </commentList>
</comments>
</file>

<file path=xl/sharedStrings.xml><?xml version="1.0" encoding="utf-8"?>
<sst xmlns="http://schemas.openxmlformats.org/spreadsheetml/2006/main" count="1054" uniqueCount="502">
  <si>
    <t>BC</t>
  </si>
  <si>
    <t>VAE</t>
  </si>
  <si>
    <t>CNEFOP</t>
  </si>
  <si>
    <t>x</t>
  </si>
  <si>
    <t>Critère 3 Indicateurs spécifiques d’appréciation</t>
  </si>
  <si>
    <t>Critère 4 Indicateur spécifique d’appréciation</t>
  </si>
  <si>
    <t>Adresse</t>
  </si>
  <si>
    <t>CP</t>
  </si>
  <si>
    <t>Ville</t>
  </si>
  <si>
    <t>Contact principal de l'organisme de formation</t>
  </si>
  <si>
    <t>Nom et Prénom</t>
  </si>
  <si>
    <t>Fonction</t>
  </si>
  <si>
    <t>Téléphone</t>
  </si>
  <si>
    <t>Email</t>
  </si>
  <si>
    <r>
      <rPr>
        <sz val="9"/>
        <color rgb="FF000000"/>
        <rFont val="Calibri"/>
        <family val="2"/>
        <scheme val="minor"/>
      </rPr>
      <t>Critère 1 : Les conditions d’information du public sur les prestations proposées, les délais pour y accéder et les résultats obtenus.</t>
    </r>
  </si>
  <si>
    <r>
      <t xml:space="preserve">Critère 1 </t>
    </r>
    <r>
      <rPr>
        <sz val="9"/>
        <color rgb="FF000000"/>
        <rFont val="Calibri"/>
        <family val="2"/>
        <scheme val="minor"/>
      </rPr>
      <t>Indicateur spécifique d’appréciation</t>
    </r>
  </si>
  <si>
    <r>
      <rPr>
        <sz val="9"/>
        <color rgb="FF000000"/>
        <rFont val="Calibri"/>
        <family val="2"/>
        <scheme val="minor"/>
      </rPr>
      <t>Critère 3 : L’adaptation aux publics bénéficiaires des prestations et des modalités d’accueil, d’accompagnement, de suivi et d’évaluation mises en œuvre.</t>
    </r>
  </si>
  <si>
    <r>
      <rPr>
        <sz val="9"/>
        <color rgb="FF000000"/>
        <rFont val="Calibri"/>
        <family val="2"/>
        <scheme val="minor"/>
      </rPr>
      <t>Critère 4 : L’adéquation des moyens pédagogiques, techniques et d’encadrement aux prestations mises en œuvre.</t>
    </r>
  </si>
  <si>
    <r>
      <rPr>
        <sz val="9"/>
        <color rgb="FF000000"/>
        <rFont val="Calibri"/>
        <family val="2"/>
        <scheme val="minor"/>
      </rPr>
      <t>Critère 5 : La qualification et le développement des connaissances et compétences des personnels chargés de mettre en œuvre les prestations.</t>
    </r>
  </si>
  <si>
    <r>
      <rPr>
        <sz val="9"/>
        <color rgb="FF000000"/>
        <rFont val="Calibri"/>
        <family val="2"/>
        <scheme val="minor"/>
      </rPr>
      <t>Critère 6 : L’inscription et l’investissement du prestataire dans son environnement professionnel.</t>
    </r>
  </si>
  <si>
    <r>
      <rPr>
        <sz val="9"/>
        <color rgb="FF000000"/>
        <rFont val="Calibri"/>
        <family val="2"/>
        <scheme val="minor"/>
      </rPr>
      <t>Critère 7 : Le recueil et la prise en compte des appréciations et des réclamations formulées par les parties prenantes aux prestations délivrées.</t>
    </r>
  </si>
  <si>
    <t>Nom et Prénom de l'auditeur</t>
  </si>
  <si>
    <t>Validation des acquis par l'expérience</t>
  </si>
  <si>
    <t>Critère</t>
  </si>
  <si>
    <t>Site audité:</t>
  </si>
  <si>
    <t>Périmètre :</t>
  </si>
  <si>
    <t>Feuille de présence</t>
  </si>
  <si>
    <t>Nom de l'organisme audité :</t>
  </si>
  <si>
    <t>Type audit :</t>
  </si>
  <si>
    <t>Date réunion d'ouverture :</t>
  </si>
  <si>
    <t>Nom</t>
  </si>
  <si>
    <t>Prénom</t>
  </si>
  <si>
    <t>Date réunion de clôture :</t>
  </si>
  <si>
    <t>Pronéo Certification, 8 rue Octave Feuillet 75116 Paris – Tel : 01 76 50 44 22 - RCS Paris 829 590 546</t>
  </si>
  <si>
    <t>FORM 028 01</t>
  </si>
  <si>
    <t>Nombre de non-conformités :</t>
  </si>
  <si>
    <t>Fiche de non-conformité</t>
  </si>
  <si>
    <t>Non-conformité numéro :</t>
  </si>
  <si>
    <t>Ici on note si non-conformité majeure ou mineure</t>
  </si>
  <si>
    <t>Type d'audit :</t>
  </si>
  <si>
    <t>Nom de l'auditeur :</t>
  </si>
  <si>
    <t>Nom du représentant du client :</t>
  </si>
  <si>
    <t>Site du constat :</t>
  </si>
  <si>
    <r>
      <t xml:space="preserve">AUDITEUR </t>
    </r>
    <r>
      <rPr>
        <sz val="11"/>
        <color theme="1"/>
        <rFont val="Calibri"/>
        <family val="2"/>
        <scheme val="minor"/>
      </rPr>
      <t>(nom si différent du RA) :</t>
    </r>
    <r>
      <rPr>
        <b/>
        <sz val="11"/>
        <color theme="1"/>
        <rFont val="Calibri"/>
        <family val="2"/>
        <scheme val="minor"/>
      </rPr>
      <t xml:space="preserve"> </t>
    </r>
  </si>
  <si>
    <t>Constat et preuve(s) associée(s)</t>
  </si>
  <si>
    <t>Date :</t>
  </si>
  <si>
    <t>Nom :</t>
  </si>
  <si>
    <t xml:space="preserve">REPONSE DE L’ENTREPRISE </t>
  </si>
  <si>
    <t>Date de mise en œuvre :</t>
  </si>
  <si>
    <t xml:space="preserve">APPRECIATION DE L’AUDITEUR </t>
  </si>
  <si>
    <t xml:space="preserve"> Acceptée </t>
  </si>
  <si>
    <t xml:space="preserve"> Refusée en l’état et doit être revue</t>
  </si>
  <si>
    <t>Critère :</t>
  </si>
  <si>
    <t>Non-conformité(s) mineure(s)</t>
  </si>
  <si>
    <t>Non-conformité(s) majeure(s)</t>
  </si>
  <si>
    <t>Indicateur :</t>
  </si>
  <si>
    <t>Critère 2 : L’identification précise des objectifs des prestations proposées et l’adaptation de ces 
prestations aux publics bénéficiaires, lors de la conception de prestations.</t>
  </si>
  <si>
    <t>Critère 2 : L’identification précise des objectifs des prestations proposées et l’adaptation de ces 
prestations aux publics bénéficiaires, lors de la conception des prestations.</t>
  </si>
  <si>
    <t>18) Le prestataire mobilise et coordonne les différents intervenants internes et/ou externes (pédagogiques, administratifs, logistiques, commerciaux …).</t>
  </si>
  <si>
    <t>23) Le prestataire réalise une veille légale et réglementaire sur le champ de la formation professionnelle et en exploite les enseignements.</t>
  </si>
  <si>
    <t>30) Le prestataire recueille les appréciations des parties prenantes : bénéficiaires, financeurs, équipes pédagogiques et entreprises concernées.</t>
  </si>
  <si>
    <t>Référentiel national qualité</t>
  </si>
  <si>
    <t>Type d'audit</t>
  </si>
  <si>
    <t>Audit initial</t>
  </si>
  <si>
    <t>Audit de surveillance</t>
  </si>
  <si>
    <t>Audit de renouvellement</t>
  </si>
  <si>
    <t>Audit d'extension</t>
  </si>
  <si>
    <t>Audit complémentaire</t>
  </si>
  <si>
    <t>Modalités d'audit</t>
  </si>
  <si>
    <t>Formation par apprentissage</t>
  </si>
  <si>
    <t>17) Le prestataire met à disposition ou s’assure de la mise à disposition des moyens humains et techniques adaptés et d’un environnement approprié (conditions, locaux, équipements, plateaux techniques…).</t>
  </si>
  <si>
    <t>L'entreprise doit décrire ci-dessous son plan d'action pour corriger la non-conformité</t>
  </si>
  <si>
    <t>L'entreprise doit indiquer ci-dessous le nom de la preuve qu'elle a envoyée à l'auditeur et préciser la date de mise en œuvre de l'action</t>
  </si>
  <si>
    <t>La réponse de l’entreprise auditée est :</t>
  </si>
  <si>
    <t>Commentaires de l'auditeur</t>
  </si>
  <si>
    <t>Traitement des non-conformités</t>
  </si>
  <si>
    <t xml:space="preserve">Une non-conformité est un écart par rapport à un ou plusieurs indicateurs du référentiel. </t>
  </si>
  <si>
    <t>Elle peut être mineure ou majeure.</t>
  </si>
  <si>
    <t>Définition d'une non-conformité</t>
  </si>
  <si>
    <t xml:space="preserve">Pour les non-conformités mineures </t>
  </si>
  <si>
    <t>Pour les non-conformités majeures</t>
  </si>
  <si>
    <t>Délai pour traiter les non-conformités :</t>
  </si>
  <si>
    <t>i</t>
  </si>
  <si>
    <t xml:space="preserve">Le plan d'action doit être envoyé sous 7 jours à l'auditeur afin qu'il le valide. Le délai part du jour de la réception du rapport d'audit que vous recevez de l'auditeur. </t>
  </si>
  <si>
    <t>Planning d'audit QUALIOPI</t>
  </si>
  <si>
    <t>Nom de l’organisme</t>
  </si>
  <si>
    <t>Nom du site (multisite)</t>
  </si>
  <si>
    <t xml:space="preserve">Référentiel(s) audité(s) </t>
  </si>
  <si>
    <t>Nom de l'auditeur</t>
  </si>
  <si>
    <r>
      <t>Date et h</t>
    </r>
    <r>
      <rPr>
        <sz val="10"/>
        <color rgb="FF000000"/>
        <rFont val="Calibri"/>
        <family val="2"/>
        <scheme val="minor"/>
      </rPr>
      <t>oraire</t>
    </r>
  </si>
  <si>
    <t>Critères</t>
  </si>
  <si>
    <t>Auditeurs</t>
  </si>
  <si>
    <t>Nom et fonction des personnes auditées</t>
  </si>
  <si>
    <t>Pause déjeuner</t>
  </si>
  <si>
    <t>Contact du site audité (si différent)</t>
  </si>
  <si>
    <t>Avis de l'auditeur</t>
  </si>
  <si>
    <t>Nouvel entrant</t>
  </si>
  <si>
    <t>Critère 1 : Les conditions d'information du public sur les prestations proposées, les délais pour y accéder et les résultats obtenus.</t>
  </si>
  <si>
    <t>Indicateurs</t>
  </si>
  <si>
    <r>
      <t>Description du contexte de l'organisme</t>
    </r>
    <r>
      <rPr>
        <b/>
        <sz val="12"/>
        <color rgb="FFFF0000"/>
        <rFont val="Calibri"/>
        <family val="2"/>
        <scheme val="minor"/>
      </rPr>
      <t xml:space="preserve"> (A renseigner obligatoirement) </t>
    </r>
  </si>
  <si>
    <t>Organisme certificateur : PRONÉO CERTIFICATION, 8 rue Octave Feuillet 75116 PARIS – RCS Paris 829590546</t>
  </si>
  <si>
    <t>Critère 1 : Les conditions d’information du public sur les prestations proposées, les délais pour y accéder et les résultats obtenus.</t>
  </si>
  <si>
    <t>Avis favorable</t>
  </si>
  <si>
    <r>
      <rPr>
        <u/>
        <sz val="10"/>
        <color theme="1"/>
        <rFont val="Calibri"/>
        <family val="2"/>
        <scheme val="minor"/>
      </rPr>
      <t>Confidentialité</t>
    </r>
    <r>
      <rPr>
        <sz val="10"/>
        <color theme="1"/>
        <rFont val="Calibri"/>
        <family val="2"/>
        <scheme val="minor"/>
      </rPr>
      <t xml:space="preserve"> : ce rapport d'audit est confidentiel et uniquement diffusé au sein de Pronéo Certification et à l'organisme audité. Il est la propriété exclusive de Pronéo Certification.</t>
    </r>
  </si>
  <si>
    <t>Activité existante</t>
  </si>
  <si>
    <t>Conformité / NC mineure ou majeure</t>
  </si>
  <si>
    <t>Avis défavorable</t>
  </si>
  <si>
    <t>Fin de l'audit</t>
  </si>
  <si>
    <t>Date d'envoi des documents</t>
  </si>
  <si>
    <t>Date de début - Date de Fin</t>
  </si>
  <si>
    <t>au</t>
  </si>
  <si>
    <t>Critère 2 : L’identification précise des objectifs des prestations proposées et l’adaptation de ces prestations aux publics bénéficiaires lors de la conception des prestations</t>
  </si>
  <si>
    <t>Critère 5 :La qualification et le développement des connaissances et compétences des personnels chargés de mettre en oeuvre les prestations</t>
  </si>
  <si>
    <t>Critère 6 :L’inscription et l’investissement du prestataire dans son environnement professionnel</t>
  </si>
  <si>
    <t>Critère 7:Le recueil et la prise en compte des appréciations et des réclamations formulées par les parties prenantes aux prestations délivrées</t>
  </si>
  <si>
    <t>Auditeur seul</t>
  </si>
  <si>
    <t xml:space="preserve">Site (multisite) : </t>
  </si>
  <si>
    <t>Nom de l'organisme audité</t>
  </si>
  <si>
    <t>Numéro du critère :</t>
  </si>
  <si>
    <t>Numéro des indicateurs :</t>
  </si>
  <si>
    <t>Constat et preuve(s) associée(s) - Reprendre les constats de toutes les NC mineures</t>
  </si>
  <si>
    <t xml:space="preserve">Modalités d'audit </t>
  </si>
  <si>
    <t xml:space="preserve">Audit réalisé selon la version en vigueur du guide de lecture : </t>
  </si>
  <si>
    <t xml:space="preserve">Preuve, constat factuel :
</t>
  </si>
  <si>
    <t>Risque associé :</t>
  </si>
  <si>
    <t xml:space="preserve">Préciser la catégorie d'action concernée par la non-conformité :
</t>
  </si>
  <si>
    <t>Critère 4 :L’adéquation des moyens pédagogiques, techniques et d’encadrement aux prestations mises en oeuvre</t>
  </si>
  <si>
    <t>Préparation de la réunion de clôture
• Eventuels compléments d’audit
• Préparation des fiches de non-conformité</t>
  </si>
  <si>
    <t>Guide référentiel national qualité</t>
  </si>
  <si>
    <t>Audit sur site</t>
  </si>
  <si>
    <t>1,2,3,</t>
  </si>
  <si>
    <t>Oui</t>
  </si>
  <si>
    <t>Non</t>
  </si>
  <si>
    <t>Est-ce que l'audit a été efficace et les objectifs de l'audit ont été atteints ?</t>
  </si>
  <si>
    <t>Le décompte des non-conformités majeures inclut-il une non-conformité majeure induite par la présence d'au moins 5 non-conformités mineures ?</t>
  </si>
  <si>
    <t>L'audit s'est-il déroulé dans des conditions d'audit similaires à un audit sur site ?</t>
  </si>
  <si>
    <t>Si l'audit a été réalisé à distance</t>
  </si>
  <si>
    <t xml:space="preserve">Réunion de clôture
• Remerciements, éventuelles difficultés rencontrées lors de l’audit
• Rappel des principes et limites de l’échantillonnage d’audit
• Restitution des conclusions et non-conformités de l’audit
• Phases et étapes qui suivent cet audit </t>
  </si>
  <si>
    <t>En cas de non-acceptation des preuves par l'auditeur, l'organisme audité dispose de 7 jours pour envoyer de nouveaux éléments tout en ne dépassant la delai de 3 mois depuis la livraison du rapport.</t>
  </si>
  <si>
    <t>Critère 3 : L’adaptation aux publics bénéficiaires des prestations et des modalités d’accueil, d’accompagnement, de suivi et d’évaluation mises en oeuvre</t>
  </si>
  <si>
    <t>Exigences 8 et 9 (enregistrement des réclamations ; respect de la charte d'utilisation du logo et de la marque)</t>
  </si>
  <si>
    <t>1) Le prestataire diffuse une information accessible au public, détaillée et vérifiable sur les prestations proposées : prérequis, objectifs, durée, modalités et délais d’accès, tarifs, contacts, méthodes mobilisées et modalités d’évaluation, accessibilité aux personnes handicapées.</t>
  </si>
  <si>
    <t>2) Le prestataire diffuse des indicateurs de résultats adaptés à la nature des prestations mises en œuvre et des publics accueillis.</t>
  </si>
  <si>
    <t>3) Lorsque le prestataire met en œuvre des prestations conduisant à une certification professionnelle, il informe sur les taux d’obtention des certifications préparées, les possibilités de valider un/ou des blocs de compétences, ainsi que sur les équivalences, passerelles, suites de parcours et les débouchés.</t>
  </si>
  <si>
    <t>4) Le prestataire analyse le besoin du bénéficiaire en lien avec l’entreprise et/ou le financeur concerné(s).</t>
  </si>
  <si>
    <t>5) Le prestataire définit les objectifs opérationnels et évaluables de la prestation.</t>
  </si>
  <si>
    <t>6) Le prestataire établit les contenus et les modalités de mise en œuvre de la prestation, adaptés aux objectifs définis et aux publics bénéficiaires.</t>
  </si>
  <si>
    <t>7) Lorsque le prestataire met en œuvre des prestations conduisant à une certification professionnelle, il s’assure de l’adéquation du ou des contenus de la prestation aux exigences de la certification visée.</t>
  </si>
  <si>
    <t>8) Le prestataire détermine les procédures de positionnement et d’évaluation des acquis à l’entrée de la prestation.</t>
  </si>
  <si>
    <t>10) Le prestataire met en œuvre et adapte la prestation, l’accompagnement et le suivi aux publics bénéficiaires.</t>
  </si>
  <si>
    <t>11) Le prestataire évalue l’atteinte par les publics bénéficiaires des objectifs de la prestation.</t>
  </si>
  <si>
    <t>12) Le prestataire décrit et met en œuvre les mesures pour favoriser l’engagement des bénéficiaires et prévenir les ruptures de parcours.</t>
  </si>
  <si>
    <t>13) Pour les formations en alternance, le prestataire, en lien avec l’entreprise, anticipe avec l’apprenant les missions confiées, à court, moyen et long terme, et assure la coordination et la progressivité des apprentissages réalisés en centre de formation et en entreprise.</t>
  </si>
  <si>
    <t>16) Lorsque le prestataire met en œuvre des formations conduisant à une certification professionnelle, il s’assure que les conditions de présentation des bénéficiaires à la certification respectent les exigences formelles de l’autorité de certification.</t>
  </si>
  <si>
    <t>19) Le prestataire met à disposition du bénéficiaire des ressources pédagogiques et permet à celui-ci de se les approprier.</t>
  </si>
  <si>
    <t>21) Le prestataire détermine, mobilise et évalue les compétences des différents intervenants internes et/ou externes, adaptées aux prestations.</t>
  </si>
  <si>
    <t>22) Le prestataire entretient et développe les compétences de ses salariés, adaptées aux prestations qu’il délivre.</t>
  </si>
  <si>
    <t>24) Le prestataire réalise une veille sur les évolutions des compétences, des métiers et des emplois dans ses secteurs d’intervention et en exploite les enseignements.</t>
  </si>
  <si>
    <t>25) Le prestataire réalise une veille sur les innovations pédagogiques et technologiques permettant une évolution de ses prestations et en exploite les enseignements.</t>
  </si>
  <si>
    <t>26) Le prestataire mobilise les expertises, outils et réseaux nécessaires pour accueillir, accompagner/former ou orienter les publics en situation de handicap.</t>
  </si>
  <si>
    <t>27) Lorsque le prestataire fait appel à la sous-traitance ou au portage salarial, il s’assure du respect de la conformité au présent référentiel.</t>
  </si>
  <si>
    <t>28) Lorsque les prestations dispensées au bénéficiaire comprennent des périodes de formation en situation de travail, le prestataire mobilise son réseau de partenaires socio-économiques pour co-construire  l’ingénierie de formation et favoriser l’accueil en entreprise.</t>
  </si>
  <si>
    <t>31) Le prestataire met en œuvre des modalités de traitement des difficultés rencontrées par les parties prenantes, des réclamations exprimées par ces dernières, des aléas survenus en cours de prestation.</t>
  </si>
  <si>
    <t>32) Le prestataire met en œuvre des mesures d’amélioration à partir de l’analyse des appréciations et des réclamations.</t>
  </si>
  <si>
    <t>15) Le prestataire informe les apprentis de leurs droits et devoirs en tant qu’apprentis et salariés ainsi que des
règles applicables en matière de santé et de sécurité en milieu professionnel.</t>
  </si>
  <si>
    <t>14) Le prestataire met en œuvre un accompagnement socio-professionnel, éducatif et relatif à l’exercice de la citoyenneté.</t>
  </si>
  <si>
    <t>20) Le prestataire dispose d’un personnel dédié à l’appui à la mobilité nationale et internationale, d’un référent handicap et d’un conseil de perfectionnement.</t>
  </si>
  <si>
    <t>29) Le prestataire développe des actions qui concourent à l’insertion professionnelle ou la poursuite d’étude par la voie de l’apprentissage ou par toute autre voie permettant de développer leurs connaissances et leurs compétences.</t>
  </si>
  <si>
    <r>
      <rPr>
        <sz val="9"/>
        <color rgb="FF000000"/>
        <rFont val="Calibri"/>
        <family val="2"/>
        <scheme val="minor"/>
      </rPr>
      <t>9) Le prestataire informe les publics bénéficiaires sur les conditions de déroulement de la prestation.</t>
    </r>
  </si>
  <si>
    <t>Audit monosite</t>
  </si>
  <si>
    <t>Audit de surveillance/de renouvellement</t>
  </si>
  <si>
    <t>A choisir dans la liste de la cellule ci-dessous (menu déroulant)</t>
  </si>
  <si>
    <t>Date de début de l'audit</t>
  </si>
  <si>
    <t>Audit multisite</t>
  </si>
  <si>
    <t>Quel outil a été utilisé pour réaliser l'audit à distance ?</t>
  </si>
  <si>
    <t xml:space="preserve"> L’organisme a-t-il conservé un enregistrement de toutes les réclamations dont il a eu connaissance concernant la conformité aux exigences de certification et mis ces enregistrements à la disposition de l'organisme de certification sur demande (exigence issue de la norme d'accréditation ISO 17065)</t>
  </si>
  <si>
    <t>L'entreprise doit indiquer ci-dessous le nom de la preuve de mise en conformité et préciser la date de mise en œuvre de l'action</t>
  </si>
  <si>
    <t>Démontrer comment le besoin du
bénéficiaire est analysé en fonction de la
finalité de la prestation.</t>
  </si>
  <si>
    <t>Démontrer que les contenus et modalités
de mise en oeuvre des prestations sont
adaptés aux objectifs définis en fonction
des bénéficiaires.</t>
  </si>
  <si>
    <t>Démontrer l’adéquation du contenu aux
compétences ciblées et aux épreuves
d’évaluation de la certification.</t>
  </si>
  <si>
    <t>Les modalités d’accueil et les conditions
de déroulement de la prestation sont
formalisées et diffusées.</t>
  </si>
  <si>
    <t>Démontrer que des mesures formalisées
existent et sont mises en oeuvre.</t>
  </si>
  <si>
    <t>Démontrer que l’accompagnement de
l’apprenant est formalisé et mis en oeuvre
par la mise en place de projets spécifiques.</t>
  </si>
  <si>
    <t>Démontrer que les apprentis sont informés
des droits et devoirs des salariés /apprentis
et sur les règles applicables en matière de
santé et de sécurité en milieu professionnel.</t>
  </si>
  <si>
    <t>Le prestataire respecte les exigences
formelles de l’autorité de certification
lorsqu’il présente des candidats à la
certification qu’il propose.</t>
  </si>
  <si>
    <t>Démontrer que les locaux, les
équipements, les moyens humains sont en
adéquation avec la ou les prestation(s).</t>
  </si>
  <si>
    <t>Démontrer que les ressources
pédagogiques existent, sont actualisées
et disponibles et démontrer que des
dispositions sont mises en place afin de
permettre aux bénéficiaires de se les
approprier.</t>
  </si>
  <si>
    <t>Démontrer la mise en place d’une veille sur
les thèmes de l’indicateur et son impact
éventuel sur les prestations.</t>
  </si>
  <si>
    <t>Démontrer les dispositions mises en place
pour vérifier le respect de la conformité au
présent référentiel par le sous-traitant ou le
salarié porté.</t>
  </si>
  <si>
    <t>Démontrer l’existence d’un réseau de
partenaires socio-économiques mobilisé
tout au long de la prestation</t>
  </si>
  <si>
    <t>Démontrer l’existence d’actions qui
concourent à l’insertion professionnelle ou
la poursuite d’études</t>
  </si>
  <si>
    <t>Démontrer la mise en place de modalités
de traitement des aléas, difficultés et
réclamations.</t>
  </si>
  <si>
    <t>Démontrer la mise en place d’une
démarche d’amélioration continue.</t>
  </si>
  <si>
    <t>Ce rapport contient t-il ?</t>
  </si>
  <si>
    <t>Fonction centrale</t>
  </si>
  <si>
    <t>Site de réalisation</t>
  </si>
  <si>
    <t>Adresses des sites audités dans ce rapport</t>
  </si>
  <si>
    <t>Catégories d'actions auditées (cocher les cases)</t>
  </si>
  <si>
    <t>Actions de formation</t>
  </si>
  <si>
    <t xml:space="preserve"> (ex. : taille de l'organisme, type de formations dispensées, RNCP / RS / intra / inter/ CA BPF , site web….)</t>
  </si>
  <si>
    <t>Echantillonnage des actions réalisé par l'auditeur</t>
  </si>
  <si>
    <t>Audit de certification Qualiopi - Référentiel national qualité</t>
  </si>
  <si>
    <t>Exigences 10, 11, 12, 13, 14, 15, 16, 17, 18, 19 pour les organismes multisites</t>
  </si>
  <si>
    <t>Type de constat</t>
  </si>
  <si>
    <t>Niveau attendu</t>
  </si>
  <si>
    <t>Constats d'audit : BC</t>
  </si>
  <si>
    <t>Constats d'audit : VAE</t>
  </si>
  <si>
    <r>
      <t xml:space="preserve">Critère 2 </t>
    </r>
    <r>
      <rPr>
        <sz val="9"/>
        <color rgb="FF000000"/>
        <rFont val="Calibri"/>
        <family val="2"/>
        <scheme val="minor"/>
      </rPr>
      <t>Indicateurs spécifiques d’appréciation</t>
    </r>
  </si>
  <si>
    <r>
      <t xml:space="preserve">Critère 6 </t>
    </r>
    <r>
      <rPr>
        <sz val="9"/>
        <color rgb="FF000000"/>
        <rFont val="Calibri"/>
        <family val="2"/>
        <scheme val="minor"/>
      </rPr>
      <t>Indicateurs spécifiques d’appréciation</t>
    </r>
  </si>
  <si>
    <t>Ce rapport contient-t-il des constats pour les exigences multisites ?</t>
  </si>
  <si>
    <t>Description du processus/fonctionnement de l'organisme</t>
  </si>
  <si>
    <t>Références ou noms des éléments de preuve consultés</t>
  </si>
  <si>
    <t>Références ou noms des éléments de preuve consultés - Moyens humains</t>
  </si>
  <si>
    <t>Références ou noms des éléments de preuve consultés - Moyens matériels</t>
  </si>
  <si>
    <t>Références ou noms des éléments de preuve consultés - Moyens environnement</t>
  </si>
  <si>
    <t>Références ou noms des éléments de preuve consultés - Preuves de veille</t>
  </si>
  <si>
    <t>Références ou noms des éléments de preuve consultés - Preuves d'exploitation de la veille</t>
  </si>
  <si>
    <t>Références ou noms des éléments de preuve consultés - Bénéficiaires</t>
  </si>
  <si>
    <t>Références ou noms des éléments de preuve consultés - Financeurs</t>
  </si>
  <si>
    <t>Références ou noms des éléments de preuve consultés - Equipes pédagogiques</t>
  </si>
  <si>
    <t>Références ou noms des éléments de preuve consultés - Entreprises concernées</t>
  </si>
  <si>
    <t>Signature des conclusions d'audit par l'auditeur après rédaction du rapport définitif (insérer ici la signature de l'auditeur)</t>
  </si>
  <si>
    <t>L'auditeur a-t-il audité les indicateurs ayant donné lieu à non-conformité lors de l'audit précédent ?</t>
  </si>
  <si>
    <t>Date d'envoi du plan d'audit à l'organisme audité (au plus tard 15 jours avant l'audit)</t>
  </si>
  <si>
    <t>Date d'envoi du rapport à l'audité (provisoire si non-conformités) (sous 7 jours après l'audit)</t>
  </si>
  <si>
    <t>Date d'envoi du rapport définitif à l'organisme audité et PRONEO (après réponse aux NC)</t>
  </si>
  <si>
    <t>Indications d'audit complémentaires</t>
  </si>
  <si>
    <t>Démontrer que des mesures formalisées pour favoriser l'engagement des bénéficiaires et prévenir les ruptures de parcours existent et sont mises en oeuvre.</t>
  </si>
  <si>
    <t>Analyse de l'efficacité des actions correctives des non-conformités  relevées lors de l'audit précédent et des plaintes, le cas échéant</t>
  </si>
  <si>
    <t>Les actions correctives mises en œuvre à la suite des non-conformités de l’audit précédent ont-elles toutes été efficaces ?</t>
  </si>
  <si>
    <t>Ce rapport contient-il le rapport de la fonction centrale ?</t>
  </si>
  <si>
    <t>Ce rapport contient-il les rapports de tous les sites du multisite ?</t>
  </si>
  <si>
    <t>Ce rapport contient-il le rapport du site de réalisation de la fonction centrale dans le cas où il a été audité ?</t>
  </si>
  <si>
    <t>Ce rapport contient-il le rapport d'autres sites de réalisation ?</t>
  </si>
  <si>
    <t>L'audit précédent comportait-il des non-conformités ? (Si "Non" à cette question, ne pas répondre aux trois ci-dessous)</t>
  </si>
  <si>
    <r>
      <rPr>
        <b/>
        <sz val="9"/>
        <color theme="1"/>
        <rFont val="Calibri"/>
        <family val="2"/>
        <scheme val="minor"/>
      </rPr>
      <t xml:space="preserve"> Exigence 8</t>
    </r>
    <r>
      <rPr>
        <sz val="9"/>
        <color theme="1"/>
        <rFont val="Calibri"/>
        <family val="2"/>
        <scheme val="minor"/>
      </rPr>
      <t xml:space="preserve"> : L’organisme a-t-il conservé un enregistrement de toutes les réclamations dont il a eu connaissance concernant la conformité aux exigences de certification et mis ces enregistrements à la disposition de l'organisme de certification sur demande.</t>
    </r>
  </si>
  <si>
    <t>Audit de certification Qualiopi multisite</t>
  </si>
  <si>
    <r>
      <t xml:space="preserve">Dossiers échantillonnés pour </t>
    </r>
    <r>
      <rPr>
        <b/>
        <sz val="11"/>
        <color theme="1"/>
        <rFont val="Calibri"/>
        <family val="2"/>
        <scheme val="minor"/>
      </rPr>
      <t>actions de formation</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</si>
  <si>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actions de formation</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</si>
  <si>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bilan de compétences</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</si>
  <si>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bilan de compétences</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</si>
  <si>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VAE</t>
    </r>
    <r>
      <rPr>
        <sz val="11"/>
        <color theme="1"/>
        <rFont val="Calibri"/>
        <family val="2"/>
        <scheme val="minor"/>
      </rPr>
      <t xml:space="preserve"> (quelles prestations, quelles sessions, pour qui...) :</t>
    </r>
  </si>
  <si>
    <r>
      <t xml:space="preserve">Justification échantillonnage pour </t>
    </r>
    <r>
      <rPr>
        <b/>
        <sz val="11"/>
        <color theme="1"/>
        <rFont val="Calibri"/>
        <family val="2"/>
        <scheme val="minor"/>
      </rPr>
      <t>VAE</t>
    </r>
    <r>
      <rPr>
        <sz val="11"/>
        <color theme="1"/>
        <rFont val="Calibri"/>
        <family val="2"/>
        <scheme val="minor"/>
      </rPr>
      <t xml:space="preserve"> (représentativité, nouveauté, spécificités, etc.) :</t>
    </r>
  </si>
  <si>
    <r>
      <t xml:space="preserve">Justification échantillonnage pour </t>
    </r>
    <r>
      <rPr>
        <b/>
        <sz val="11"/>
        <color theme="1"/>
        <rFont val="Calibri"/>
        <family val="2"/>
        <scheme val="minor"/>
      </rPr>
      <t>apprentissage</t>
    </r>
    <r>
      <rPr>
        <sz val="11"/>
        <color theme="1"/>
        <rFont val="Calibri"/>
        <family val="2"/>
        <scheme val="minor"/>
      </rPr>
      <t xml:space="preserve"> (représentativité, nouveauté, spécificités, etc.) :</t>
    </r>
  </si>
  <si>
    <r>
      <t xml:space="preserve">Dossiers échantillonnés pour </t>
    </r>
    <r>
      <rPr>
        <b/>
        <sz val="11"/>
        <color theme="1"/>
        <rFont val="Calibri"/>
        <family val="2"/>
        <scheme val="minor"/>
      </rPr>
      <t>apprentissage</t>
    </r>
    <r>
      <rPr>
        <sz val="11"/>
        <color theme="1"/>
        <rFont val="Calibri"/>
        <family val="2"/>
        <scheme val="minor"/>
      </rPr>
      <t xml:space="preserve"> (quelles prestations, quelles sessions, pour qui...) :</t>
    </r>
  </si>
  <si>
    <t>Si oui, indiquer le numéro des indicateurs concernés :</t>
  </si>
  <si>
    <r>
      <rPr>
        <b/>
        <sz val="9"/>
        <color theme="1"/>
        <rFont val="Calibri"/>
        <family val="2"/>
        <scheme val="minor"/>
      </rPr>
      <t>Exigence 9 :</t>
    </r>
    <r>
      <rPr>
        <sz val="9"/>
        <color theme="1"/>
        <rFont val="Calibri"/>
        <family val="2"/>
        <scheme val="minor"/>
      </rPr>
      <t xml:space="preserve"> L’organisme respecte-t-il la charte d’utilisation de la marque de certification Qualiopi et affiche-t-il son certificat ?</t>
    </r>
  </si>
  <si>
    <t>Autre audit (merci de préciser)</t>
  </si>
  <si>
    <t>Durée de l'audit en jours</t>
  </si>
  <si>
    <t>L’organisme respecte-t-il la charte d’utilisation du logo de certification Qualiopi ? L'organisme ne peut également pas utiliser le logo de Pronéo. Si l'organisme n'est pas encore certifié, l'organisme ne doit pas faire référence à la certification. (exigence issue de la norme d'acréditation ISO 17065)
L'organisme certifié affiche-t-il son certificat dans ses locaux et sur son site web ? En l'absence de site web ou de locaux, en communique-t-il une copie à tout candidat, stagiaire, apprenti ou financeur mentionné à l'article L. 6316-1 du code du travail qui en fait la demande ?</t>
  </si>
  <si>
    <t>Non applicable</t>
  </si>
  <si>
    <t>Si des non-conformités sont reconduites (actions correctives non efficaces), indiquer le numéro des indicateurs concernés :</t>
  </si>
  <si>
    <t>L'organisme propose-t-il des prestations :</t>
  </si>
  <si>
    <t xml:space="preserve">Défaillance identifiée au regard de l'exigence :
</t>
  </si>
  <si>
    <t>Donner une information accessible, exhaustive sur la prestation, c'est-à-dire sur son contenu et sur l'intégralité des items mentionnés. Cette information doit être à jour.</t>
  </si>
  <si>
    <t>Donner une information chiffrée permettant de suivre les résultats de la prestation au regard des objectifs.</t>
  </si>
  <si>
    <t>Donner au public une information accessible exhaustive (c'est-à-dire sur l'intégralité des items mentionnés) et actualisée (informations à jour).</t>
  </si>
  <si>
    <t>Démontrer que les objectifs spécifiques à la prestation ont été définis et peuvent faire l'objet d'une évaluation.</t>
  </si>
  <si>
    <t>Démontrer l'existence de procédures de positionnement et d'évaluation des acquis à l'entrée de la prestation adaptée aux publics et modalités de formations.</t>
  </si>
  <si>
    <t>La prestation est adaptée aux situations et profils des bénéficiaires, lorsque l'analyse du besoin en établis la nécessité : contenus (outils et méthodes), accompagnement, suivi (durées, emplois du temps, adaptation des rythmes).</t>
  </si>
  <si>
    <t>Démontrer que les principes de la pédagogie de l'alternance sont mis en œuvre, grâce à un processus formalisé d'articulation itératif des apprentissages entre le centre de formation et l'entreprise.</t>
  </si>
  <si>
    <t>Démontrer que les compétences requises
pour réaliser les prestations ont été
définies en amont et sont adaptées aux
prestations.
La maîtrise de ces compétences par les intervenants est vérifiée par le prestataire.</t>
  </si>
  <si>
    <t>Démontrer la mise en place d'une veille légale et réglementaire, sa prise en compte par le prestataire et sa communication en interne.</t>
  </si>
  <si>
    <t>Démontrer l'identification d'un réseau de partenaires/experts/acteurs du champ du handicap, mobilisable par les personnels. Dans le cas d'accueil de personnes en situation de handicap, préciser les modalités de recours à ce réseau et les mesures spécifiques d'accompagnement ou d'orientation mises en oeuvre.</t>
  </si>
  <si>
    <t>Démontrer la sollicitation des appréciations à une fréquence pertinente, incluant des dispositifs de relance et permettant une libre expression.</t>
  </si>
  <si>
    <t>Vérification des niveaux attendus</t>
  </si>
  <si>
    <t>PRONEO Certification</t>
  </si>
  <si>
    <t>Sauf indication contraire pour un indicateur en particulier dans le guide de lecture en vigueur, la non-conformité mineure est la prise en compte partielle d’un indicateur ne remettant pas en cause la qualité de la prestation délivrée.</t>
  </si>
  <si>
    <t xml:space="preserve">Sauf indication contraire pour un indicateur en particulier dans le guide de lecture en vigueur,la non-conformité majeure est la non prise en compte d’un indicateur ou sa prise en compte partielle remettant en cause la qualité de la prestation délivrée. </t>
  </si>
  <si>
    <t>L’absence de preuve le jour de l’audit fait l’objet d’une non-conformité.</t>
  </si>
  <si>
    <t>5 non-conformités mineures ou plus aboutissent à une non-conformité majeure.</t>
  </si>
  <si>
    <t>Vous avez 6 mois pour mettre en œuvre les actions correctives.</t>
  </si>
  <si>
    <t>L'auditeur vérifie lors de l'audit de surveillance, la mise en œuvre et l'efficacité du plan d'action.</t>
  </si>
  <si>
    <t>Le plan d'action doit être envoyé sous 7 jours à l'auditeur afin qu'il le valide. Le délai part du jour de la réception du rapport d'audit que vous recevez de l'auditeur.</t>
  </si>
  <si>
    <t>Vous avez 3 mois au maximum pour apporter les preuves de la mise en œuvre des actions correctives. L'auditeur acceptera les preuves ou pourra les refuser. Dans ce cas, vous devez refournir de nouvelles preuves.</t>
  </si>
  <si>
    <t>Le prestataire identifie, selon les fonctions nécessaires aux prestations, les intervenants dont il assure la coordination.</t>
  </si>
  <si>
    <t>Ajout de site</t>
  </si>
  <si>
    <t>De formation (AF ou CFA) prévoyant une période en entreprise (formations en alternance, stages en entreprise ou AFEST, etc.) ? (cf. BPF)</t>
  </si>
  <si>
    <t>Inscrites au RNCP (donc certifiantes) ? (cf. BPF)</t>
  </si>
  <si>
    <t>Inscrites au répertoire spécifique (RS) ? (cf. BPF)</t>
  </si>
  <si>
    <t>Dont la réalisation est confiée à un autre organisme (à un sous-traitant) ? (cf. BPF)</t>
  </si>
  <si>
    <t>Réalisées pour le compte d'un autre organisme (en tant que sous-traitant) ? (cf. BPF)</t>
  </si>
  <si>
    <t>En tout ou partie à distance (FOAD) ? (cf. BPF)</t>
  </si>
  <si>
    <t>Note : l'audit ne peut être réalisé qu'en présence du dirigeant, d'un salarié ou d'une personne qui occupe une fonction externalisée sous contrat, depuis plusieurs mois au moins. Pour un audit sur site, ce représentant doit être présent physiquement.</t>
  </si>
  <si>
    <t>Information à jour (Une date n'est pas synonyme d'information à jour)</t>
  </si>
  <si>
    <t>Présence des 10 items</t>
  </si>
  <si>
    <t>Information à jour (Une date n'est pas synonyme d'information  à jour)</t>
  </si>
  <si>
    <t>Présence d'au moins 2 indicateurs</t>
  </si>
  <si>
    <t>Information complète (taux + blocs compétences + équivalences + passerelles + suites de parcours + débouchés)</t>
  </si>
  <si>
    <t>Taux d'obtention mis en relation avec le taux de présentation à l'examen</t>
  </si>
  <si>
    <t>Information sur les débouchés comprenant le taux d'insertion global dans l'emploi et le taux d'insertion dans le métier visé</t>
  </si>
  <si>
    <t>Analyse du besoin en fonction de la finalité</t>
  </si>
  <si>
    <t>Si RNCP/RS, objectifs conformes aux objectifs de la prestation</t>
  </si>
  <si>
    <t>Contenus et modalités adaptés aux objectifs en fonction des bénéficiaires</t>
  </si>
  <si>
    <t>Si RNCP/RS, contenu cohérent avec les objectifs</t>
  </si>
  <si>
    <t>Contenu adapté aux épreuves d'évaluation de la certification</t>
  </si>
  <si>
    <t>Existence de procédures de positionnement</t>
  </si>
  <si>
    <t>Si RNCP/RS, prérequis cohérents avec ceux de la certification</t>
  </si>
  <si>
    <t>Conditions de déroulement formalisées et diffusées</t>
  </si>
  <si>
    <t>Modalités d'accueil formalisées et diffusées</t>
  </si>
  <si>
    <t>Adaptation des contenus</t>
  </si>
  <si>
    <t>Adaptation de l'accompagnement</t>
  </si>
  <si>
    <t>Adaptation du suivi</t>
  </si>
  <si>
    <t>Processus formalisé</t>
  </si>
  <si>
    <t>Processus d'évaluation mis en oeuvre ou nouvel entrant</t>
  </si>
  <si>
    <t>Procédures formalisées existantes</t>
  </si>
  <si>
    <t>Procédures formalisées mises en oeuvre</t>
  </si>
  <si>
    <t>Existence d'un processus d'articulation itératif formalisé entre le centre de formation et l'entreprise</t>
  </si>
  <si>
    <t>Si RNCP, respect des exigences formelles de l'autorité de certification</t>
  </si>
  <si>
    <t>Locaux en adéquation avec les objectifs de la prestation</t>
  </si>
  <si>
    <t>Equipements en adéquation avec les objectifs de la prestation</t>
  </si>
  <si>
    <t>Moyens humains en adéquation avec les objectifs de la prestation</t>
  </si>
  <si>
    <t>Ressources pédagogiques cohérentes avec les objectifs</t>
  </si>
  <si>
    <t>Ressources pédagogiques disponibles</t>
  </si>
  <si>
    <t>Dispositions mises en place pour se les approprier</t>
  </si>
  <si>
    <t>Si FOAD, mise en oeuvre comprenant une assistance technique et pédagogique</t>
  </si>
  <si>
    <t>Si nouvel entrant, ressources pédagogiques prévues</t>
  </si>
  <si>
    <t>Information sur les droits et devoirs</t>
  </si>
  <si>
    <t>Information sur les règles applicables sur la santé et la sécurité</t>
  </si>
  <si>
    <t>Accompagnement formalisé</t>
  </si>
  <si>
    <t>Accompagnement mis en oeuvre par la mise en place de projets spécifiques ou nouvel entrant</t>
  </si>
  <si>
    <t>Compétences requises définies en amont</t>
  </si>
  <si>
    <t>Compétences requises adaptées</t>
  </si>
  <si>
    <t>Vérification par le prestataire des compétences des intervenants</t>
  </si>
  <si>
    <t>Leviers de formation et de professionalisation mobilisés</t>
  </si>
  <si>
    <t>L'ensemble du personnel est couvert</t>
  </si>
  <si>
    <t>Veille légale et réglementaire réalisée</t>
  </si>
  <si>
    <t>Veille prise en compte</t>
  </si>
  <si>
    <t>Mise en place de la veille</t>
  </si>
  <si>
    <t>Prise en compte de l'impact de la veille, le cas échéant</t>
  </si>
  <si>
    <t>Réseau identifié</t>
  </si>
  <si>
    <t>Existence du réseau de partenaires</t>
  </si>
  <si>
    <t>Actions concourant à l'insertion professionnelle (apprentissage ou autre voie)</t>
  </si>
  <si>
    <t>Actions concourant à la poursuite d'études (apprentissage ou autre voie)</t>
  </si>
  <si>
    <t>Fréquence de sollicitation pertinente</t>
  </si>
  <si>
    <t>Dispositif de relance prévu</t>
  </si>
  <si>
    <t>Libre expression permise</t>
  </si>
  <si>
    <t>Démarche d'amélioration continue mise en place</t>
  </si>
  <si>
    <t>Le cas échéant, réclamations enregistrées</t>
  </si>
  <si>
    <t>Présentation de la liste des membres du conseil de perfectionnement, du dernier compte rendu et/ou procès-verbal</t>
  </si>
  <si>
    <t>Présentation de la liste des personnes dédiées à la mobilité</t>
  </si>
  <si>
    <t>Actions mises en oeuvre en faveur de la mobilité</t>
  </si>
  <si>
    <t>Présentation des nom et contact du référent handicap</t>
  </si>
  <si>
    <t>Actions mises en oeuvre pour accompagner les PSH</t>
  </si>
  <si>
    <t>Objectifs pouvant être évalués</t>
  </si>
  <si>
    <t>Preuves présentées pour les 5 missions listées à l'article 6231-2 du Code du travail</t>
  </si>
  <si>
    <t>Le prestataire présente :
- la liste des membres du conseil de perfectionnement, le dernier compte rendu et/ou procès-verbal ;
- la liste des personnes dédiées à la mobilité (nationale et internationale) et les actions mises en oeuvre en faveur de la mobilité ;
- le nom et le contact du référent handicap et les actions qu'il met en oeuvre pour accompagner les publics en situation de handicap.</t>
  </si>
  <si>
    <t>Si nouvel entrant, processus d'articulation formalisé pour les 2 lieux de formation</t>
  </si>
  <si>
    <t>Prise en compte de tous les sous-traitants (hors formateurs vacataires, ou occasionnels) : formateurs, intervenants, prestataires, organismes de formation, etc.</t>
  </si>
  <si>
    <t>Présence de prestations de plus de 2 jours (plus de 14 heures) au total</t>
  </si>
  <si>
    <t>Démontrer la mobilisation des différents leviers de formation et de professionnalisation pour l'ensemble de son personnel.</t>
  </si>
  <si>
    <t>Si RNCP/RS, 4 items d'information (libellé, code, certificateur, date)</t>
  </si>
  <si>
    <t>Si FOAD, informations spécifiques liés à l’utilisation des moyens techniques prévus</t>
  </si>
  <si>
    <t>Si alternance, analyse amont et vérification des missions</t>
  </si>
  <si>
    <t>Analyse amont et vérification des missions (CFA ou alternance)</t>
  </si>
  <si>
    <t>4 items d'information RNCP/RS (libellé, code, certificateur, date)</t>
  </si>
  <si>
    <t>Exigences VAE particulières satisfaites</t>
  </si>
  <si>
    <t>Co-construction d'un programme (BC)</t>
  </si>
  <si>
    <t>Si alternance, objectifs exprimés en compétences et/ou capacités professionnelles et/ou certifications visées</t>
  </si>
  <si>
    <t>Codéfinition des objectifs (BC)</t>
  </si>
  <si>
    <t>Contrat et engagements respectifs (BC)</t>
  </si>
  <si>
    <t>Objectifs conformes aux objectifs de la prestation (RNCP/RS)</t>
  </si>
  <si>
    <t>Objectifs exprimés en compétences et/ou capacités professionnelles et/ou certifications visées (CFA ou alternance)</t>
  </si>
  <si>
    <t>Contenu cohérent avec les objectifs (RNCP/RS)</t>
  </si>
  <si>
    <t>Prérequis cohérents avec ceux de la certification (RNCP/RS)</t>
  </si>
  <si>
    <t>Information sur les engagements déontologiques (BC)</t>
  </si>
  <si>
    <t>Convention contenant 5 mentions obligatoires (BC)</t>
  </si>
  <si>
    <t>Mise en oeuvre des phases individuelles et collectives et adaptation de la durée (VAE)</t>
  </si>
  <si>
    <t>Présence du dossier de suivi du candidat (VAE)</t>
  </si>
  <si>
    <t>Accompagnement conforme à l'obligation spécifique (CFA)</t>
  </si>
  <si>
    <t>Respect des exigences formelles de l'autorité de certification (RNCP)</t>
  </si>
  <si>
    <t>Demande au certificateur des conditions de présentation (VAE)</t>
  </si>
  <si>
    <t>Moyens adaptés, confidentialité des échanges, habilitation des personnes pour les tests, le cas échéant (BC)</t>
  </si>
  <si>
    <t>Intervenants externes non certificateurs et non financeurs (VAE)</t>
  </si>
  <si>
    <t>Accompagnateurs formés à l'analyse des référentiels métiers, certifications et méthodologie (VAE)</t>
  </si>
  <si>
    <t>Modalités incluant les 3 cas : aléas + difficultés + réclamations</t>
  </si>
  <si>
    <t>Marque non utilisée sur des supports associés à des prestations en particulier (pour tout audit)</t>
  </si>
  <si>
    <t>Mention des actions certifiées de police inférieure ou égale à "processus certifié" (NA en audit initial)</t>
  </si>
  <si>
    <t>Pas d'utilisation de la double Marianne (pour tout audit)</t>
  </si>
  <si>
    <t>Certificat affiché sur le site web ou communiqué sur demande (NA en audit initial)</t>
  </si>
  <si>
    <t>Certificat affiché dans les locaux ou communiqué sur demande (NA en audit initial)</t>
  </si>
  <si>
    <t>Information chiffrée permettant le suivi des résultats</t>
  </si>
  <si>
    <t>Intervenants identifiés selon les fonctions nécessaires aux prestations</t>
  </si>
  <si>
    <t>Intervenants coordonnés ou prestataire indépendant</t>
  </si>
  <si>
    <t>Veille communiquée en interne ou prestataire indépendant</t>
  </si>
  <si>
    <t>AF</t>
  </si>
  <si>
    <t>Obligation spécifique RNCP/RS : objectifs de la certification.
Obligation spécifique BC : co-définition objectifs.
Obligation spécifique VAE : engagements respectifs.
Obligation spécifique CFA et alternance : objectifs en compétences.
Sous-traitant : tenir compte des objectifs définis par le donneur d'ordre.</t>
  </si>
  <si>
    <t>Sous-traitant : tenir compte des missions confiées pour l’appréciation de cet indicateur.</t>
  </si>
  <si>
    <t>Obligation spécifique BC : engagements déontologiques.
Sous-traitant : tenir compte des missions confiées pour l’appréciation de cet indicateur.</t>
  </si>
  <si>
    <t>Nouvel entrant : processus d'articulation formalisé (écrit) pour les 2 lieux de formation.
Sous-traitant : tenir compte des missions confiées pour l’appréciation de cet indicateur.</t>
  </si>
  <si>
    <t>Obligation spécifique VAE : conditions de présentation examens.
Sous-traitant : tenir compte des missions confiées pour l’appréciation de cet indicateur.</t>
  </si>
  <si>
    <t>Si l'OPAC accueilli des PSH, prise en compte des situations et besoins</t>
  </si>
  <si>
    <t>Si l'OPAC accueilli des PSH, prise en compte dans la conception et la mise en oeuvre</t>
  </si>
  <si>
    <t>L'organisme a-t-il accueilli des PSH ?</t>
  </si>
  <si>
    <t>Si l'OPAC a accueilli des PSH, précision des modalités de recours au réseau et mesures spécifiques d'accompagnement ou d'orientation</t>
  </si>
  <si>
    <t>Si l'OPAC a accueilli des PSH, précision des mesures d'accompagnement ou d'orientation mises en oeuvre</t>
  </si>
  <si>
    <t>Bilan de compétences</t>
  </si>
  <si>
    <r>
      <t xml:space="preserve">Pour quelles catégories l'OPAC réalise-t-il des prestations </t>
    </r>
    <r>
      <rPr>
        <b/>
        <sz val="11"/>
        <color theme="1"/>
        <rFont val="Calibri"/>
        <family val="2"/>
        <scheme val="minor"/>
      </rPr>
      <t>uniquement</t>
    </r>
    <r>
      <rPr>
        <sz val="11"/>
        <color theme="1"/>
        <rFont val="Calibri"/>
        <family val="2"/>
        <scheme val="minor"/>
      </rPr>
      <t xml:space="preserve"> comme sous-traitant (pas de prestations en direct) ?</t>
    </r>
  </si>
  <si>
    <t>Sous-traitance à 100%</t>
  </si>
  <si>
    <t>Précisions : vérifier que TOUS les 10 items sont présents.
Obligation spécifique RNCP/RS : 5 items d'information.
Exemples de preuves BC : cadre légal et réglementaire.
Obligation spécifique VAE : exigences particulières formalisées et communiquées.
Sous-traitant à 100% : non applicable.</t>
  </si>
  <si>
    <t>Au moins 2 indicateurs.
Obligations spécifiques CFA : indicateurs L.61118, mise à disposition sur InserJeunes.
Sous-traitant à 100% : non applicable.</t>
  </si>
  <si>
    <t>Préciser formation concernée, taux d'obtention indiqué, possibilité de valider des blocs, équivalences, passerelles, suite de parcours et débouchés.
Nouvel entrant : communication sur taux auditée à partir de la 1ère surveillance.
Sous-traitant à 100% : non applicable.</t>
  </si>
  <si>
    <t>Sous-traitant : recueil de l'appréciation des bénéficiaires et de son donneur d'ordre sur la prestation réalisée.</t>
  </si>
  <si>
    <t>Obligation spécifique : si l'OPAC a accueilli des PSH, prise en compte des situations et besoins.
Obligation spécifique BC : co-construction programme.
Obligation spécifique CFA : analyse au moins en amont contrat + vérification missions.
Sous-traitant : applicable.</t>
  </si>
  <si>
    <t>Obligation spécifique RNCP/RS : cohérence du contenu de la formation.
Obligation spécifique si l'OPAC a accueilli des PSH : prise en compte pour conception et mise en œuvre.
Sous-traitant : applicable.</t>
  </si>
  <si>
    <t>Obligation spécifique RNCP/RS : prérequis cohérents avec ceux de la certification.
Sous-traitant : applicable.</t>
  </si>
  <si>
    <t>Obligation spécifique BC : convention avec mentions précises.
Obligation spécifique VAE : mise en œuvre phases individuelles et collectives + adaptation durée.
Obligation spécifique CFA : accompagnement apprentis.
Sous-traitant : applicable.</t>
  </si>
  <si>
    <t>Nouvel entrant : processus évaluation formalisé.
Obligation spécifique VAE : dossier suivi candidat progression.
Sous-traitant : applicable.</t>
  </si>
  <si>
    <t>Précisions : indicateur applicable si prestation de plus de 2 jours.
Préciser : nom de la procédure écrite pour la gestion de l'abandon, exemples de mesures mises en place.
Obligation spécifique CFA : accompagnement spécifique.
Sous-traitant : applicable.</t>
  </si>
  <si>
    <t>Nouvel entrant : accompagnement formalisé.
Sous-traitant : applicable.</t>
  </si>
  <si>
    <t>Sous-traitant : applicable.</t>
  </si>
  <si>
    <t>Obligation spécifique BC : moyens dédiés, confidentialité, discrétion, habilitation tests.
Sous-traitant : applicable.</t>
  </si>
  <si>
    <t>Obligation spécifique VAE : intervenants ni certificateurs ni financeurs.
Sous-traitant : applicable.</t>
  </si>
  <si>
    <t>Nouvel entrant : ressources prévues.
Obligation spécifique formation à distance, mise en œuvre avec assistance technique et pédagogique.
Sous-traitant : applicable.</t>
  </si>
  <si>
    <t>Obligation spécifique VAE : accompagnateurs formés analyse référentiel.
Sous-traitant : applicable.</t>
  </si>
  <si>
    <t>Nouvel entrant : mise en oeuvre auditée en surveillance.
Sous-traitant : applicable.</t>
  </si>
  <si>
    <t>Nouvel entrant : impact vu en surveillance.
Sous-traitant : applicable.</t>
  </si>
  <si>
    <t>Nouvel entrant : démontrer mise en place réseau.
Sous-traitant : le prestataire démontre qu’il dispose d’un réseau de partenaires/experts/acteurs du champ du handicap ou que son donneur d’ordre lui a communiqué la liste de ses partenaires mobilisables pour orienter les PSH et mettre en place des mesures spécifiques.</t>
  </si>
  <si>
    <t>Si l'audit initial était aménagé (CNEFOP), l'auditeur a-t-il audité les indicateurs non visés par l'audit en initial ? (en audit de surveillance uniquement)</t>
  </si>
  <si>
    <t>Certificat CNEFOP actif (en audit initial uniquement)</t>
  </si>
  <si>
    <t>Présence des 9 items</t>
  </si>
  <si>
    <t>Catégories d'action auditées :</t>
  </si>
  <si>
    <t>Indicateur</t>
  </si>
  <si>
    <t>CFA</t>
  </si>
  <si>
    <t>Constats d'audit : formation AF</t>
  </si>
  <si>
    <t>Constats d'audit : CFA</t>
  </si>
  <si>
    <t>Exigence 11 pour le siège du multisite : Tous les sites concernés ont un lien juridique ou contractuel avec la fonction centrale de l’organisme.</t>
  </si>
  <si>
    <r>
      <t xml:space="preserve">Exigence12 pour le siège du multisite : L’organisme multisites n'est bien couvert que </t>
    </r>
    <r>
      <rPr>
        <b/>
        <u/>
        <sz val="9"/>
        <color theme="1"/>
        <rFont val="Calibri"/>
        <family val="2"/>
        <scheme val="minor"/>
      </rPr>
      <t>par un seul système qualité</t>
    </r>
    <r>
      <rPr>
        <sz val="9"/>
        <color theme="1"/>
        <rFont val="Calibri"/>
        <family val="2"/>
        <scheme val="minor"/>
      </rPr>
      <t xml:space="preserve"> </t>
    </r>
    <r>
      <rPr>
        <b/>
        <u/>
        <sz val="9"/>
        <color theme="1"/>
        <rFont val="Calibri"/>
        <family val="2"/>
        <scheme val="minor"/>
      </rPr>
      <t>sous la responsabilité d’une fonction centrale</t>
    </r>
    <r>
      <rPr>
        <sz val="9"/>
        <color theme="1"/>
        <rFont val="Calibri"/>
        <family val="2"/>
        <scheme val="minor"/>
      </rPr>
      <t xml:space="preserve"> (pas nécessairement le siège).</t>
    </r>
  </si>
  <si>
    <t>Exigence 13 pour le siège du multisite : La fonction centrale veille à ce que les données de chaque site soient collectées et analysées.</t>
  </si>
  <si>
    <t>Exigence 14 pour le siège du multisite : La fonction centrale est capable de démontrer son autorité et sa capacité à amorcer au besoin des changements organisationnels.</t>
  </si>
  <si>
    <t>Exigence 15 pour le siège du multisite : La fonction centrale (pas nécessairement le siège) régit plusieurs sites sur lesquels tout ou partie des activités (administrative, commerciale, ingénierie…) entrent dans le champ de la certification.</t>
  </si>
  <si>
    <t>Exigence 16 pour le siège du multisite : Tous les sites concernés font l’objet d’une surveillance régulière définie par la fonction centrale (exemples : audit interne, reporting, revue de direction, etc.).</t>
  </si>
  <si>
    <t>Exigence 17 pour le siège du multisite : La fonction centrale est responsable des mesures correctives nécessaires sur les sites.</t>
  </si>
  <si>
    <t>Exigence 10 pour le siège du multisite : L’organisme demandeur ne dispose que d’un seul numéro de déclaration d’activité identique pour tous ses sites.</t>
  </si>
  <si>
    <t>Exigence 18 pour le siège du multisite : La fonction qualité est internalisée au sein de l’organisme.</t>
  </si>
  <si>
    <t>Information chiffrée permettant le suivi des résultats avec au moins 2 indicateurs</t>
  </si>
  <si>
    <t>Communication des indicateurs de l'article L6111-8 via inserjeunes ou communication équivalente à défaut</t>
  </si>
  <si>
    <t>Lien avec l'entreprise et/ou le financeur, le cas échéant</t>
  </si>
  <si>
    <t>Définition d'objectifs spécifiques à la prestation</t>
  </si>
  <si>
    <t>Contenu en adéquation avec les compétences du référentiel</t>
  </si>
  <si>
    <t>Existence d'évaluation des acquis à l'entrée adaptée ou absence de prérequis</t>
  </si>
  <si>
    <t>Mise en oeuvre des obligations de la loi (L6231-2, alinéa 1, 2 et 11) pour l'accompagnement (CFA)</t>
  </si>
  <si>
    <t>Mobilisation du réseau tout au long de la prestation pour co-construction</t>
  </si>
  <si>
    <t>SIREN</t>
  </si>
  <si>
    <t>NDA</t>
  </si>
  <si>
    <t>Existence de dispositions pour vérifier la conformité des sous-traitants</t>
  </si>
  <si>
    <t>9h00</t>
  </si>
  <si>
    <t>9h45</t>
  </si>
  <si>
    <t>10h40</t>
  </si>
  <si>
    <t>11h35</t>
  </si>
  <si>
    <t>12h30</t>
  </si>
  <si>
    <t>13h20</t>
  </si>
  <si>
    <t>14h10</t>
  </si>
  <si>
    <t>15h00</t>
  </si>
  <si>
    <t>17h00-17h30</t>
  </si>
  <si>
    <t>17h15</t>
  </si>
  <si>
    <t>15h50</t>
  </si>
  <si>
    <t>16h40</t>
  </si>
  <si>
    <t>PRONÉO CERTIFICATION est une marque déposée – FORM RNQ 029 32</t>
  </si>
  <si>
    <t>V32 du rapport (applicable au 08/07/2024)</t>
  </si>
  <si>
    <t>Réunion d'ouverture:
- présentation des interlocuteurs
- objectifs de l'audit, périmètre, échantillonnage, validation du plan d'audit
- règles en cas de non-conformités
- changements éventuels depuis le dernier audit
- modifications du plan d'audit</t>
  </si>
  <si>
    <t xml:space="preserve">1ère journée - Nom du site : </t>
  </si>
  <si>
    <t>Indicateurs applicables</t>
  </si>
  <si>
    <t>Organisme nouvel entrant</t>
  </si>
  <si>
    <t>Organisme non nouvel entrant</t>
  </si>
  <si>
    <t>Tous mais certains indicateurs ne sont audités  qu'au niveau de la formalisation du processus mis en place (cf guide de lecture)</t>
  </si>
  <si>
    <t>Tous les indicateurs de la ou les catégories auditées</t>
  </si>
  <si>
    <t>Tous les indicateurs de la ou des catégories sont audités</t>
  </si>
  <si>
    <t>L'auditeur audite tous les indicateurs de la ou des catégories du périmètre.
 Il peut aussi décider en audit, par manque de temps, de restreindre l'audit à minima sur :
- les indicateurs ayant fait l'objet de non-conformités à l'audit précédent ;
- les indicateurs ne pouvant donner lieu qu'à des non-conformités majeures mentionnés à l'article 5, applicables à l'organisme audité (4, 5, 6, 7, 10, 11, 14, 15, 16, 20, 21, 22, 26, 27, 29, 31, 32) ;
- les indicateurs 1, 3, 17, 19 ;
- pour les organismes ayant bénéficié d'un audit initial aménagé (CNEFOP), les indicateurs n'ayant pas été vérifiés à l'audit initial ;
- les exigences 33 et 34.</t>
  </si>
  <si>
    <t>Un organisme ne peut pas être nouvel entrant en audit de renouvellement</t>
  </si>
  <si>
    <t>Tous les indicateurs sont audités mais certains ne sont audités qu'au niveau de la formalisation du processus mis en place (cf guide de lecture)</t>
  </si>
  <si>
    <t>Cas particuliers</t>
  </si>
  <si>
    <t>Indicateurs particuliers applicables</t>
  </si>
  <si>
    <t>Si les prestations conduisent à une certification professionnelle</t>
  </si>
  <si>
    <t>3,7 et 16</t>
  </si>
  <si>
    <t>Si l'organisme fait de l'alternance</t>
  </si>
  <si>
    <t>Si l'organisme fait appel à la sous-traitance</t>
  </si>
  <si>
    <t>Si les prestations comprennent des périodes de formation en situation de travail</t>
  </si>
  <si>
    <t>Indicateurs applicables spécifiques à un organisme uniquement sous-traitant</t>
  </si>
  <si>
    <t>Indicateurs applicables à tous les sous-traitants selon la catégorie pour laquelle ils veulent être certifiés</t>
  </si>
  <si>
    <t xml:space="preserve">Lorsque la prestation échantillonnée est une prestation pour laquelle l’organisme intervient en sous-traitance </t>
  </si>
  <si>
    <t>Le prestataire recueille l’appréciation des bénéficiaires et de son donneur d’ordres sur la prestation réalisée.</t>
  </si>
  <si>
    <t>NON APPLICABLE AU SOUS-TRAITANT</t>
  </si>
  <si>
    <t>1 – 2 – 3</t>
  </si>
  <si>
    <t>7 – 9 – 13 – 16 – 28</t>
  </si>
  <si>
    <t>4 – 6 – 8 – 10 – 11 – 12 – 14 – 15</t>
  </si>
  <si>
    <t xml:space="preserve">17 à 32 (sauf 26, 28, 30) </t>
  </si>
  <si>
    <t>Exigences 8 et 9</t>
  </si>
  <si>
    <r>
      <t xml:space="preserve">L’indicateur n’est pas applicable car l’information </t>
    </r>
    <r>
      <rPr>
        <u/>
        <sz val="11"/>
        <color rgb="FF000000"/>
        <rFont val="Calibri"/>
        <family val="2"/>
      </rPr>
      <t>doit être réalisée par le donneur d’ordres</t>
    </r>
    <r>
      <rPr>
        <sz val="11"/>
        <color rgb="FF000000"/>
        <rFont val="Calibri"/>
        <family val="2"/>
      </rPr>
      <t>.</t>
    </r>
  </si>
  <si>
    <r>
      <t xml:space="preserve">Le prestataire démontre qu’il tient </t>
    </r>
    <r>
      <rPr>
        <u/>
        <sz val="11"/>
        <color rgb="FF000000"/>
        <rFont val="Calibri"/>
        <family val="2"/>
      </rPr>
      <t>compte des objectifs définis par le donneur d’ordre</t>
    </r>
  </si>
  <si>
    <r>
      <t xml:space="preserve">le prestataire démontre qu’il </t>
    </r>
    <r>
      <rPr>
        <u/>
        <sz val="11"/>
        <color rgb="FF000000"/>
        <rFont val="Calibri"/>
        <family val="2"/>
      </rPr>
      <t xml:space="preserve">dispose d’un réseau </t>
    </r>
    <r>
      <rPr>
        <sz val="11"/>
        <color rgb="FF000000"/>
        <rFont val="Calibri"/>
        <family val="2"/>
      </rPr>
      <t>de partenaires/experts/acteurs du champ du handicap ou que son donneur d’ordre lui a communiqué la liste de ses partenaires mobilisables pour orienter les PSH et mettre en place des mesures spécifiques.</t>
    </r>
  </si>
  <si>
    <r>
      <t xml:space="preserve">L’organisme certificateur tient compte </t>
    </r>
    <r>
      <rPr>
        <u/>
        <sz val="11"/>
        <color rgb="FF000000"/>
        <rFont val="Calibri"/>
        <family val="2"/>
      </rPr>
      <t>des missions confiées pour l’appréciation de cet indicateur</t>
    </r>
  </si>
  <si>
    <r>
      <t xml:space="preserve">Audit d'extension
</t>
    </r>
    <r>
      <rPr>
        <sz val="11"/>
        <color theme="1"/>
        <rFont val="Calibri"/>
        <family val="2"/>
      </rPr>
      <t>(Ajout d'une nouvelle catégorie d'actions)</t>
    </r>
  </si>
  <si>
    <t>Tous mais certains indicateurs ne sont audités  qu'au niveau de la formalisation du processus mis en place (cf. guide de lecture)</t>
  </si>
  <si>
    <r>
      <t xml:space="preserve">Audit d'extension
</t>
    </r>
    <r>
      <rPr>
        <sz val="11"/>
        <color theme="1"/>
        <rFont val="Calibri"/>
        <family val="2"/>
        <scheme val="minor"/>
      </rPr>
      <t>(Ajout de nouvelle catégorie d'actions)</t>
    </r>
  </si>
  <si>
    <t>V1 : CNEFOP, Formation, BC, VAE, CFA</t>
  </si>
  <si>
    <t>7,8,</t>
  </si>
  <si>
    <t>11,12,13,14,15,16,</t>
  </si>
  <si>
    <t>20,</t>
  </si>
  <si>
    <t>22,</t>
  </si>
  <si>
    <t>24,25,26,28,29,</t>
  </si>
  <si>
    <t>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</si>
</sst>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6" x14ac:knownFonts="1">
    <font>
      <sz val="11"/>
      <color theme="1"/>
      <name val="Calibri"/>
      <family val="2"/>
      <scheme val="minor"/>
    </font>
    <font>
      <b/>
      <sz val="11"/>
      <color theme="1"/>
      <name val="Calibri"/>
      <family val="2"/>
      <scheme val="minor"/>
    </font>
    <font>
      <sz val="10"/>
      <color theme="1"/>
      <name val="Calibri"/>
      <family val="2"/>
      <scheme val="minor"/>
    </font>
    <font>
      <sz val="9"/>
      <color theme="1"/>
      <name val="Calibri"/>
      <family val="2"/>
      <scheme val="minor"/>
    </font>
    <font>
      <sz val="9"/>
      <color rgb="FF000000"/>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4"/>
      <color theme="1"/>
      <name val="Calibri"/>
      <family val="2"/>
      <scheme val="minor"/>
    </font>
    <font>
      <sz val="11"/>
      <name val="Calibri"/>
      <family val="2"/>
      <scheme val="minor"/>
    </font>
    <font>
      <b/>
      <sz val="14"/>
      <color theme="1"/>
      <name val="Calibri"/>
      <family val="2"/>
      <scheme val="minor"/>
    </font>
    <font>
      <b/>
      <u/>
      <sz val="9"/>
      <color theme="1"/>
      <name val="Calibri"/>
      <family val="2"/>
      <scheme val="minor"/>
    </font>
    <font>
      <b/>
      <sz val="11"/>
      <name val="Calibri"/>
      <family val="2"/>
      <scheme val="minor"/>
    </font>
    <font>
      <b/>
      <sz val="22"/>
      <color theme="4" tint="-0.499984740745262"/>
      <name val="Calibri"/>
      <family val="2"/>
      <scheme val="minor"/>
    </font>
    <font>
      <u/>
      <sz val="10"/>
      <color theme="1"/>
      <name val="Calibri"/>
      <family val="2"/>
      <scheme val="minor"/>
    </font>
    <font>
      <b/>
      <sz val="22"/>
      <color theme="1"/>
      <name val="Calibri"/>
      <family val="2"/>
      <scheme val="minor"/>
    </font>
    <font>
      <sz val="12"/>
      <color theme="1"/>
      <name val="Calibri"/>
      <family val="2"/>
      <scheme val="minor"/>
    </font>
    <font>
      <b/>
      <sz val="11"/>
      <color theme="4" tint="-0.499984740745262"/>
      <name val="Calibri"/>
      <family val="2"/>
      <scheme val="minor"/>
    </font>
    <font>
      <b/>
      <sz val="12"/>
      <color theme="4" tint="-0.499984740745262"/>
      <name val="Calibri"/>
      <family val="2"/>
      <scheme val="minor"/>
    </font>
    <font>
      <b/>
      <sz val="14"/>
      <color theme="4" tint="-0.499984740745262"/>
      <name val="Calibri"/>
      <family val="2"/>
      <scheme val="minor"/>
    </font>
    <font>
      <sz val="11"/>
      <color theme="1"/>
      <name val="Marlett"/>
      <charset val="2"/>
    </font>
    <font>
      <b/>
      <sz val="11"/>
      <color rgb="FF000000"/>
      <name val="Calibri"/>
      <family val="2"/>
      <scheme val="minor"/>
    </font>
    <font>
      <sz val="10"/>
      <color rgb="FF000000"/>
      <name val="Calibri"/>
      <family val="2"/>
      <scheme val="minor"/>
    </font>
    <font>
      <sz val="8"/>
      <color theme="1"/>
      <name val="Calibri"/>
      <family val="2"/>
      <scheme val="minor"/>
    </font>
    <font>
      <b/>
      <sz val="12"/>
      <color rgb="FFFF0000"/>
      <name val="Calibri"/>
      <family val="2"/>
      <scheme val="minor"/>
    </font>
    <font>
      <sz val="11"/>
      <color rgb="FFFF0000"/>
      <name val="Calibri"/>
      <family val="2"/>
      <scheme val="minor"/>
    </font>
    <font>
      <b/>
      <sz val="11"/>
      <color rgb="FFFF0000"/>
      <name val="Calibri"/>
      <family val="2"/>
      <scheme val="minor"/>
    </font>
    <font>
      <b/>
      <sz val="10"/>
      <color theme="1"/>
      <name val="Calibri"/>
      <family val="2"/>
      <scheme val="minor"/>
    </font>
    <font>
      <b/>
      <sz val="9"/>
      <color theme="1"/>
      <name val="Calibri"/>
      <family val="2"/>
      <scheme val="minor"/>
    </font>
    <font>
      <u/>
      <sz val="11"/>
      <color theme="10"/>
      <name val="Calibri"/>
      <family val="2"/>
      <scheme val="minor"/>
    </font>
    <font>
      <sz val="9"/>
      <name val="Calibri"/>
      <family val="2"/>
      <scheme val="minor"/>
    </font>
    <font>
      <b/>
      <sz val="6"/>
      <color theme="1"/>
      <name val="Calibri"/>
      <family val="2"/>
      <scheme val="minor"/>
    </font>
    <font>
      <b/>
      <sz val="10"/>
      <color rgb="FFFF0000"/>
      <name val="Calibri"/>
      <family val="2"/>
      <scheme val="minor"/>
    </font>
    <font>
      <sz val="9"/>
      <color theme="4" tint="-0.249977111117893"/>
      <name val="Calibri"/>
      <family val="2"/>
      <scheme val="minor"/>
    </font>
    <font>
      <sz val="8"/>
      <name val="Calibri"/>
      <family val="2"/>
      <scheme val="minor"/>
    </font>
    <font>
      <sz val="11"/>
      <color theme="0"/>
      <name val="Calibri"/>
      <family val="2"/>
      <scheme val="minor"/>
    </font>
    <font>
      <sz val="11"/>
      <color rgb="FF000000"/>
      <name val="Calibri"/>
      <family val="2"/>
    </font>
    <font>
      <b/>
      <sz val="12"/>
      <color rgb="FF000000"/>
      <name val="Calibri"/>
      <family val="2"/>
    </font>
    <font>
      <sz val="11"/>
      <color theme="1"/>
      <name val="Calibri"/>
      <family val="2"/>
    </font>
    <font>
      <b/>
      <sz val="11"/>
      <color rgb="FF000000"/>
      <name val="Calibri"/>
      <family val="2"/>
    </font>
    <font>
      <u/>
      <sz val="11"/>
      <color rgb="FF000000"/>
      <name val="Calibri"/>
      <family val="2"/>
    </font>
    <font>
      <b/>
      <sz val="11"/>
      <color theme="1"/>
      <name val="Calibri"/>
      <family val="2"/>
    </font>
    <font>
      <sz val="8"/>
      <color rgb="FF000000"/>
      <name val="Segoe UI"/>
      <charset val="1"/>
    </font>
    <font>
      <b/>
      <sz val="9"/>
      <color rgb="FF000000"/>
      <name val="Tahoma"/>
      <family val="2"/>
    </font>
    <font>
      <sz val="10.199999999999999"/>
      <color rgb="FF000000"/>
      <name val="Aptos Narrow"/>
    </font>
    <font>
      <sz val="14"/>
      <color theme="0"/>
      <name val="Calibri"/>
      <family val="2"/>
      <scheme val="minor"/>
    </font>
  </fonts>
  <fills count="2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0"/>
        <bgColor indexed="64"/>
      </patternFill>
    </fill>
    <fill>
      <patternFill patternType="solid">
        <fgColor rgb="FFB4C6E7"/>
        <bgColor indexed="64"/>
      </patternFill>
    </fill>
    <fill>
      <patternFill patternType="solid">
        <fgColor rgb="FFE7E6E6"/>
        <bgColor indexed="64"/>
      </patternFill>
    </fill>
    <fill>
      <patternFill patternType="solid">
        <fgColor rgb="FFFFD966"/>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D9E2F3"/>
        <bgColor indexed="64"/>
      </patternFill>
    </fill>
    <fill>
      <patternFill patternType="solid">
        <fgColor theme="4" tint="0.79998168889431442"/>
        <bgColor indexed="64"/>
      </patternFill>
    </fill>
    <fill>
      <patternFill patternType="darkDown"/>
    </fill>
    <fill>
      <patternFill patternType="darkDown">
        <bgColor auto="1"/>
      </patternFill>
    </fill>
    <fill>
      <patternFill patternType="solid">
        <fgColor indexed="65"/>
        <bgColor indexed="64"/>
      </patternFill>
    </fill>
    <fill>
      <patternFill patternType="solid">
        <fgColor theme="9" tint="0.59999389629810485"/>
        <bgColor indexed="64"/>
      </patternFill>
    </fill>
    <fill>
      <patternFill patternType="solid">
        <fgColor theme="5" tint="-0.249977111117893"/>
        <bgColor indexed="64"/>
      </patternFill>
    </fill>
    <fill>
      <patternFill patternType="solid">
        <fgColor rgb="FFFFFF00"/>
        <bgColor indexed="64"/>
      </patternFill>
    </fill>
    <fill>
      <patternFill patternType="solid">
        <fgColor rgb="FF0066FF"/>
        <bgColor indexed="64"/>
      </patternFill>
    </fill>
    <fill>
      <patternFill patternType="solid">
        <fgColor theme="7"/>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E699"/>
        <bgColor indexed="64"/>
      </patternFill>
    </fill>
    <fill>
      <patternFill patternType="solid">
        <fgColor theme="0" tint="-0.14999847407452621"/>
        <bgColor indexed="64"/>
      </patternFill>
    </fill>
    <fill>
      <patternFill patternType="solid">
        <fgColor theme="0" tint="-0.249977111117893"/>
        <bgColor indexed="64"/>
      </patternFill>
    </fill>
    <fill>
      <patternFill patternType="lightUp">
        <bgColor theme="0"/>
      </patternFill>
    </fill>
    <fill>
      <patternFill patternType="lightUp"/>
    </fill>
    <fill>
      <patternFill patternType="solid">
        <fgColor theme="3" tint="0.89999084444715716"/>
        <bgColor indexed="64"/>
      </patternFill>
    </fill>
  </fills>
  <borders count="5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right/>
      <top style="thin">
        <color indexed="64"/>
      </top>
      <bottom/>
      <diagonal/>
    </border>
    <border>
      <left/>
      <right/>
      <top/>
      <bottom style="thin">
        <color indexed="64"/>
      </bottom>
      <diagonal/>
    </border>
    <border>
      <left style="medium">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s>
  <cellStyleXfs count="2">
    <xf numFmtId="0" fontId="0" fillId="0" borderId="0"/>
    <xf numFmtId="0" fontId="29" fillId="0" borderId="0" applyNumberFormat="0" applyFill="0" applyBorder="0" applyAlignment="0" applyProtection="0"/>
  </cellStyleXfs>
  <cellXfs count="384">
    <xf numFmtId="0" fontId="0" fillId="0" borderId="0" xfId="0"/>
    <xf numFmtId="0" fontId="0" fillId="0" borderId="0" xfId="0" applyAlignment="1">
      <alignment horizontal="center" vertical="center"/>
    </xf>
    <xf numFmtId="0" fontId="0" fillId="0" borderId="1" xfId="0" applyBorder="1" applyAlignment="1">
      <alignment horizontal="center" vertical="center" wrapText="1"/>
    </xf>
    <xf numFmtId="0" fontId="0" fillId="3" borderId="13" xfId="0" applyFill="1" applyBorder="1" applyAlignment="1">
      <alignment horizontal="center" vertical="center"/>
    </xf>
    <xf numFmtId="0" fontId="0" fillId="3" borderId="5" xfId="0" applyFill="1" applyBorder="1" applyAlignment="1">
      <alignment horizontal="center" vertical="center"/>
    </xf>
    <xf numFmtId="0" fontId="0" fillId="0" borderId="24" xfId="0" applyBorder="1" applyAlignment="1">
      <alignment horizontal="center" vertical="center"/>
    </xf>
    <xf numFmtId="0" fontId="0" fillId="0" borderId="23" xfId="0" applyBorder="1" applyAlignment="1">
      <alignment horizontal="center" vertical="center"/>
    </xf>
    <xf numFmtId="0" fontId="0" fillId="0" borderId="17"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2" fillId="0" borderId="0" xfId="0" applyFont="1" applyAlignment="1">
      <alignment horizontal="centerContinuous" vertical="center"/>
    </xf>
    <xf numFmtId="0" fontId="0" fillId="0" borderId="0" xfId="0" applyAlignment="1">
      <alignment horizontal="centerContinuous"/>
    </xf>
    <xf numFmtId="0" fontId="2" fillId="0" borderId="0" xfId="0" applyFont="1" applyAlignment="1">
      <alignment horizontal="centerContinuous"/>
    </xf>
    <xf numFmtId="0" fontId="8" fillId="0" borderId="0" xfId="0" applyFont="1" applyAlignment="1">
      <alignment horizontal="centerContinuous"/>
    </xf>
    <xf numFmtId="0" fontId="2" fillId="0" borderId="1" xfId="0" applyFont="1" applyBorder="1" applyAlignment="1">
      <alignment horizontal="center" vertical="center" wrapText="1"/>
    </xf>
    <xf numFmtId="0" fontId="0" fillId="0" borderId="21" xfId="0" applyBorder="1" applyAlignment="1">
      <alignment horizontal="center" vertical="center"/>
    </xf>
    <xf numFmtId="0" fontId="0" fillId="3" borderId="2" xfId="0" applyFill="1" applyBorder="1" applyAlignment="1">
      <alignment horizontal="left" vertical="center"/>
    </xf>
    <xf numFmtId="0" fontId="0" fillId="3" borderId="4" xfId="0" applyFill="1" applyBorder="1" applyAlignment="1">
      <alignment horizontal="center" vertical="center"/>
    </xf>
    <xf numFmtId="0" fontId="0" fillId="3" borderId="14" xfId="0" applyFill="1" applyBorder="1" applyAlignment="1">
      <alignment horizontal="center" vertical="center"/>
    </xf>
    <xf numFmtId="0" fontId="0" fillId="0" borderId="25" xfId="0" applyBorder="1" applyAlignment="1">
      <alignment horizontal="center" vertical="center"/>
    </xf>
    <xf numFmtId="0" fontId="0" fillId="0" borderId="18" xfId="0" applyBorder="1" applyAlignment="1">
      <alignment horizontal="center" vertical="center"/>
    </xf>
    <xf numFmtId="0" fontId="0" fillId="0" borderId="16" xfId="0" applyBorder="1" applyAlignment="1">
      <alignment horizontal="center" vertical="center"/>
    </xf>
    <xf numFmtId="0" fontId="0" fillId="2" borderId="8" xfId="0" applyFill="1" applyBorder="1" applyAlignment="1">
      <alignment horizontal="center"/>
    </xf>
    <xf numFmtId="0" fontId="0" fillId="2" borderId="10" xfId="0" applyFill="1" applyBorder="1" applyAlignment="1">
      <alignment horizontal="center"/>
    </xf>
    <xf numFmtId="0" fontId="0" fillId="2" borderId="6" xfId="0" applyFill="1" applyBorder="1" applyAlignment="1">
      <alignment vertical="center"/>
    </xf>
    <xf numFmtId="0" fontId="0" fillId="2" borderId="7" xfId="0" applyFill="1" applyBorder="1" applyAlignment="1">
      <alignment horizontal="center"/>
    </xf>
    <xf numFmtId="0" fontId="0" fillId="2" borderId="9" xfId="0" applyFill="1" applyBorder="1" applyAlignment="1">
      <alignment horizontal="center"/>
    </xf>
    <xf numFmtId="0" fontId="0" fillId="2" borderId="11" xfId="0" applyFill="1" applyBorder="1" applyAlignment="1">
      <alignment horizontal="center"/>
    </xf>
    <xf numFmtId="0" fontId="0" fillId="2" borderId="2" xfId="0" applyFill="1" applyBorder="1" applyAlignment="1">
      <alignment vertical="center"/>
    </xf>
    <xf numFmtId="0" fontId="0" fillId="2" borderId="4" xfId="0" applyFill="1" applyBorder="1" applyAlignment="1">
      <alignment horizontal="center" vertical="center"/>
    </xf>
    <xf numFmtId="0" fontId="0" fillId="0" borderId="0" xfId="0" applyAlignment="1">
      <alignment horizontal="center"/>
    </xf>
    <xf numFmtId="0" fontId="0" fillId="2" borderId="19" xfId="0" applyFill="1" applyBorder="1" applyAlignment="1">
      <alignment horizontal="center" vertical="center"/>
    </xf>
    <xf numFmtId="0" fontId="0" fillId="0" borderId="19" xfId="0" applyBorder="1" applyAlignment="1">
      <alignment horizontal="center" vertical="center"/>
    </xf>
    <xf numFmtId="0" fontId="0" fillId="0" borderId="0" xfId="0" applyAlignment="1">
      <alignment vertical="center"/>
    </xf>
    <xf numFmtId="0" fontId="7" fillId="0" borderId="0" xfId="0" applyFont="1" applyAlignment="1">
      <alignment horizontal="center" vertical="center"/>
    </xf>
    <xf numFmtId="0" fontId="0" fillId="0" borderId="20" xfId="0" applyBorder="1" applyAlignment="1">
      <alignment horizontal="center" vertical="center" wrapText="1"/>
    </xf>
    <xf numFmtId="0" fontId="0" fillId="0" borderId="17" xfId="0" applyBorder="1" applyAlignment="1">
      <alignment horizontal="center" vertical="center" wrapText="1"/>
    </xf>
    <xf numFmtId="0" fontId="0" fillId="0" borderId="19" xfId="0" applyBorder="1" applyAlignment="1">
      <alignment horizontal="center" vertical="center" wrapText="1"/>
    </xf>
    <xf numFmtId="0" fontId="0" fillId="0" borderId="26" xfId="0" applyBorder="1" applyAlignment="1">
      <alignment horizontal="center" vertical="center" wrapText="1"/>
    </xf>
    <xf numFmtId="0" fontId="0" fillId="0" borderId="15" xfId="0" applyBorder="1" applyAlignment="1">
      <alignment horizontal="center" vertical="center" wrapText="1"/>
    </xf>
    <xf numFmtId="0" fontId="0" fillId="0" borderId="0" xfId="0" applyAlignment="1">
      <alignment vertical="center" wrapText="1"/>
    </xf>
    <xf numFmtId="0" fontId="0" fillId="0" borderId="0" xfId="0" applyAlignment="1">
      <alignment horizontal="left"/>
    </xf>
    <xf numFmtId="0" fontId="0" fillId="0" borderId="0" xfId="0" applyAlignment="1" applyProtection="1">
      <alignment horizontal="left"/>
      <protection locked="0"/>
    </xf>
    <xf numFmtId="0" fontId="9" fillId="0" borderId="1" xfId="0" applyFont="1" applyBorder="1"/>
    <xf numFmtId="0" fontId="0" fillId="0" borderId="32" xfId="0" applyBorder="1"/>
    <xf numFmtId="0" fontId="0" fillId="0" borderId="1" xfId="0" applyBorder="1"/>
    <xf numFmtId="0" fontId="0" fillId="4" borderId="1" xfId="0" applyFill="1" applyBorder="1" applyAlignment="1">
      <alignment horizontal="center" vertical="center"/>
    </xf>
    <xf numFmtId="0" fontId="13" fillId="0" borderId="0" xfId="0" applyFont="1"/>
    <xf numFmtId="0" fontId="5" fillId="0" borderId="0" xfId="0" applyFont="1" applyAlignment="1">
      <alignment horizontal="centerContinuous"/>
    </xf>
    <xf numFmtId="0" fontId="15" fillId="0" borderId="0" xfId="0" applyFont="1" applyAlignment="1">
      <alignment horizontal="center"/>
    </xf>
    <xf numFmtId="0" fontId="16" fillId="0" borderId="0" xfId="0" applyFont="1"/>
    <xf numFmtId="0" fontId="0" fillId="0" borderId="0" xfId="0" applyAlignment="1">
      <alignment wrapText="1"/>
    </xf>
    <xf numFmtId="0" fontId="17" fillId="0" borderId="0" xfId="0" applyFont="1" applyAlignment="1">
      <alignment wrapText="1"/>
    </xf>
    <xf numFmtId="0" fontId="20" fillId="0" borderId="0" xfId="0" applyFont="1" applyAlignment="1">
      <alignment horizontal="center" vertical="center"/>
    </xf>
    <xf numFmtId="0" fontId="19" fillId="0" borderId="0" xfId="0" applyFont="1" applyAlignment="1">
      <alignment horizontal="left" vertical="center"/>
    </xf>
    <xf numFmtId="0" fontId="18" fillId="0" borderId="0" xfId="0" applyFont="1" applyAlignment="1">
      <alignment horizontal="left" vertical="center"/>
    </xf>
    <xf numFmtId="0" fontId="0" fillId="10" borderId="0" xfId="0" applyFill="1" applyAlignment="1">
      <alignment vertical="center" wrapText="1"/>
    </xf>
    <xf numFmtId="0" fontId="0" fillId="9" borderId="0" xfId="0" applyFill="1" applyAlignment="1">
      <alignment vertical="center" wrapText="1"/>
    </xf>
    <xf numFmtId="0" fontId="0" fillId="9" borderId="0" xfId="0" applyFill="1" applyAlignment="1">
      <alignment vertical="center"/>
    </xf>
    <xf numFmtId="0" fontId="1" fillId="9" borderId="0" xfId="0" applyFont="1" applyFill="1" applyAlignment="1">
      <alignment vertical="center"/>
    </xf>
    <xf numFmtId="0" fontId="12" fillId="8" borderId="1" xfId="0" applyFont="1" applyFill="1" applyBorder="1" applyAlignment="1">
      <alignment horizontal="center"/>
    </xf>
    <xf numFmtId="0" fontId="12" fillId="8" borderId="33" xfId="0" applyFont="1" applyFill="1" applyBorder="1" applyAlignment="1">
      <alignment horizontal="center"/>
    </xf>
    <xf numFmtId="0" fontId="15" fillId="0" borderId="0" xfId="0" applyFont="1"/>
    <xf numFmtId="0" fontId="1" fillId="11" borderId="2" xfId="0" applyFont="1" applyFill="1" applyBorder="1" applyAlignment="1">
      <alignment vertical="center" wrapText="1"/>
    </xf>
    <xf numFmtId="0" fontId="1" fillId="11" borderId="34" xfId="0" applyFont="1" applyFill="1" applyBorder="1" applyAlignment="1">
      <alignment vertical="center" wrapText="1"/>
    </xf>
    <xf numFmtId="0" fontId="1" fillId="11" borderId="10" xfId="0" applyFont="1" applyFill="1" applyBorder="1" applyAlignment="1">
      <alignment vertical="center" wrapText="1"/>
    </xf>
    <xf numFmtId="0" fontId="0" fillId="12" borderId="1" xfId="0" applyFill="1" applyBorder="1" applyAlignment="1">
      <alignment horizontal="left" vertical="center" indent="1"/>
    </xf>
    <xf numFmtId="0" fontId="9" fillId="4" borderId="0" xfId="0" applyFont="1" applyFill="1" applyAlignment="1">
      <alignment horizontal="center" vertical="center"/>
    </xf>
    <xf numFmtId="0" fontId="3" fillId="4" borderId="1" xfId="0" applyFont="1" applyFill="1" applyBorder="1" applyAlignment="1">
      <alignment horizontal="left" wrapText="1" indent="1"/>
    </xf>
    <xf numFmtId="49" fontId="23" fillId="13" borderId="1" xfId="0" applyNumberFormat="1" applyFont="1" applyFill="1" applyBorder="1" applyAlignment="1" applyProtection="1">
      <alignment horizontal="center" vertical="center" wrapText="1"/>
      <protection locked="0"/>
    </xf>
    <xf numFmtId="0" fontId="0" fillId="14" borderId="1" xfId="0" applyFill="1" applyBorder="1" applyAlignment="1">
      <alignment horizontal="left" wrapText="1" indent="1"/>
    </xf>
    <xf numFmtId="0" fontId="1" fillId="11" borderId="19" xfId="0" applyFont="1" applyFill="1" applyBorder="1" applyAlignment="1">
      <alignment vertical="center" wrapText="1"/>
    </xf>
    <xf numFmtId="0" fontId="0" fillId="8" borderId="1" xfId="0" applyFill="1" applyBorder="1"/>
    <xf numFmtId="0" fontId="25" fillId="0" borderId="0" xfId="0" applyFont="1"/>
    <xf numFmtId="14" fontId="0" fillId="4" borderId="2" xfId="0" applyNumberFormat="1" applyFill="1" applyBorder="1" applyAlignment="1">
      <alignment horizontal="center" vertical="center" wrapText="1"/>
    </xf>
    <xf numFmtId="14" fontId="0" fillId="4" borderId="3" xfId="0" applyNumberFormat="1" applyFill="1" applyBorder="1" applyAlignment="1">
      <alignment horizontal="center" vertical="center" wrapText="1"/>
    </xf>
    <xf numFmtId="0" fontId="21" fillId="0" borderId="34" xfId="0" applyFont="1" applyBorder="1" applyAlignment="1">
      <alignment vertical="center" wrapText="1"/>
    </xf>
    <xf numFmtId="14" fontId="0" fillId="3" borderId="3" xfId="0" applyNumberFormat="1" applyFill="1" applyBorder="1" applyAlignment="1">
      <alignment horizontal="center" vertical="center"/>
    </xf>
    <xf numFmtId="14" fontId="0" fillId="3" borderId="23" xfId="0" applyNumberFormat="1" applyFill="1" applyBorder="1" applyAlignment="1">
      <alignment horizontal="center" vertical="center" wrapText="1"/>
    </xf>
    <xf numFmtId="0" fontId="3" fillId="4" borderId="1" xfId="0" applyFont="1" applyFill="1" applyBorder="1" applyAlignment="1">
      <alignment horizontal="left" vertical="top" wrapText="1" indent="1"/>
    </xf>
    <xf numFmtId="0" fontId="22" fillId="12" borderId="1" xfId="0" applyFont="1" applyFill="1" applyBorder="1" applyAlignment="1">
      <alignment horizontal="left" vertical="top" wrapText="1" indent="1"/>
    </xf>
    <xf numFmtId="0" fontId="3" fillId="4" borderId="1" xfId="0" applyFont="1" applyFill="1" applyBorder="1" applyAlignment="1">
      <alignment horizontal="left" vertical="center" wrapText="1" indent="1"/>
    </xf>
    <xf numFmtId="0" fontId="0" fillId="14" borderId="1" xfId="0" applyFill="1" applyBorder="1"/>
    <xf numFmtId="0" fontId="0" fillId="4" borderId="1" xfId="0" applyFill="1" applyBorder="1" applyAlignment="1">
      <alignment horizontal="center" vertical="center" wrapText="1"/>
    </xf>
    <xf numFmtId="0" fontId="0" fillId="0" borderId="0" xfId="0" applyAlignment="1">
      <alignment horizontal="left" vertical="top"/>
    </xf>
    <xf numFmtId="0" fontId="2" fillId="0" borderId="18" xfId="0" applyFont="1" applyBorder="1" applyAlignment="1">
      <alignment horizontal="center" vertical="center"/>
    </xf>
    <xf numFmtId="0" fontId="0" fillId="0" borderId="7" xfId="0" applyBorder="1" applyAlignment="1">
      <alignment horizontal="left" vertical="top"/>
    </xf>
    <xf numFmtId="0" fontId="2" fillId="0" borderId="1" xfId="0" applyFont="1" applyBorder="1" applyAlignment="1">
      <alignment horizontal="center" vertical="center"/>
    </xf>
    <xf numFmtId="0" fontId="2" fillId="0" borderId="0" xfId="0" applyFont="1"/>
    <xf numFmtId="0" fontId="2" fillId="0" borderId="0" xfId="0" applyFont="1" applyAlignment="1">
      <alignment horizontal="left"/>
    </xf>
    <xf numFmtId="0" fontId="0" fillId="8" borderId="10" xfId="0" applyFill="1" applyBorder="1"/>
    <xf numFmtId="0" fontId="7" fillId="8" borderId="22" xfId="0" applyFont="1" applyFill="1" applyBorder="1"/>
    <xf numFmtId="0" fontId="7" fillId="8" borderId="11" xfId="0" applyFont="1" applyFill="1" applyBorder="1"/>
    <xf numFmtId="0" fontId="12" fillId="8" borderId="40" xfId="0" applyFont="1" applyFill="1" applyBorder="1" applyAlignment="1">
      <alignment horizontal="center"/>
    </xf>
    <xf numFmtId="0" fontId="2" fillId="12" borderId="1" xfId="0" applyFont="1" applyFill="1" applyBorder="1" applyAlignment="1">
      <alignment horizontal="left" vertical="top" wrapText="1" indent="1"/>
    </xf>
    <xf numFmtId="14" fontId="0" fillId="0" borderId="1" xfId="0" applyNumberFormat="1" applyBorder="1" applyAlignment="1">
      <alignment horizontal="center"/>
    </xf>
    <xf numFmtId="0" fontId="0" fillId="0" borderId="33" xfId="0" applyBorder="1"/>
    <xf numFmtId="0" fontId="12" fillId="12" borderId="1" xfId="0" applyFont="1" applyFill="1" applyBorder="1" applyAlignment="1">
      <alignment horizontal="center"/>
    </xf>
    <xf numFmtId="0" fontId="1" fillId="12" borderId="32" xfId="0" applyFont="1" applyFill="1" applyBorder="1"/>
    <xf numFmtId="0" fontId="26" fillId="18" borderId="0" xfId="0" applyFont="1" applyFill="1" applyAlignment="1">
      <alignment horizontal="center" vertical="center"/>
    </xf>
    <xf numFmtId="0" fontId="1" fillId="22" borderId="28" xfId="0" applyFont="1" applyFill="1" applyBorder="1"/>
    <xf numFmtId="0" fontId="0" fillId="22" borderId="29" xfId="0" applyFill="1" applyBorder="1"/>
    <xf numFmtId="0" fontId="0" fillId="23" borderId="30" xfId="0" applyFill="1" applyBorder="1"/>
    <xf numFmtId="0" fontId="0" fillId="0" borderId="32" xfId="0" applyBorder="1" applyAlignment="1">
      <alignment wrapText="1"/>
    </xf>
    <xf numFmtId="0" fontId="0" fillId="0" borderId="1" xfId="0" applyBorder="1" applyAlignment="1">
      <alignment wrapText="1"/>
    </xf>
    <xf numFmtId="0" fontId="0" fillId="8" borderId="29" xfId="0" applyFill="1" applyBorder="1"/>
    <xf numFmtId="0" fontId="0" fillId="8" borderId="30" xfId="0" applyFill="1" applyBorder="1"/>
    <xf numFmtId="0" fontId="0" fillId="0" borderId="23" xfId="0" applyBorder="1" applyAlignment="1">
      <alignment horizontal="center" vertical="center" wrapText="1"/>
    </xf>
    <xf numFmtId="0" fontId="33" fillId="26" borderId="23" xfId="0" applyFont="1" applyFill="1" applyBorder="1" applyAlignment="1">
      <alignment horizontal="center" vertical="center" wrapText="1"/>
    </xf>
    <xf numFmtId="0" fontId="33" fillId="26" borderId="1" xfId="0" applyFont="1" applyFill="1" applyBorder="1" applyAlignment="1">
      <alignment horizontal="center" vertical="center" wrapText="1"/>
    </xf>
    <xf numFmtId="0" fontId="0" fillId="26" borderId="23" xfId="0" applyFill="1" applyBorder="1" applyAlignment="1">
      <alignment horizontal="center" vertical="center" wrapText="1"/>
    </xf>
    <xf numFmtId="0" fontId="0" fillId="26" borderId="1" xfId="0" applyFill="1" applyBorder="1" applyAlignment="1">
      <alignment horizontal="center" vertical="center" wrapText="1"/>
    </xf>
    <xf numFmtId="0" fontId="31" fillId="0" borderId="41" xfId="0" applyFont="1" applyBorder="1" applyAlignment="1">
      <alignment horizontal="center" vertical="center"/>
    </xf>
    <xf numFmtId="0" fontId="0" fillId="0" borderId="26" xfId="0" applyBorder="1" applyAlignment="1">
      <alignment horizontal="center" vertical="center"/>
    </xf>
    <xf numFmtId="0" fontId="27" fillId="19" borderId="20" xfId="0" applyFont="1" applyFill="1" applyBorder="1" applyAlignment="1">
      <alignment horizontal="center" vertical="center" wrapText="1"/>
    </xf>
    <xf numFmtId="0" fontId="27" fillId="20" borderId="20" xfId="0" applyFont="1" applyFill="1" applyBorder="1" applyAlignment="1">
      <alignment horizontal="center" vertical="center" wrapText="1"/>
    </xf>
    <xf numFmtId="0" fontId="27" fillId="21" borderId="20" xfId="0" applyFont="1" applyFill="1" applyBorder="1" applyAlignment="1">
      <alignment horizontal="center" vertical="center" wrapText="1"/>
    </xf>
    <xf numFmtId="0" fontId="27" fillId="18" borderId="20" xfId="0" applyFont="1" applyFill="1" applyBorder="1" applyAlignment="1">
      <alignment horizontal="center" vertical="center" wrapText="1"/>
    </xf>
    <xf numFmtId="0" fontId="1" fillId="17" borderId="20" xfId="0" applyFont="1" applyFill="1" applyBorder="1" applyAlignment="1">
      <alignment horizontal="center" vertical="center" wrapText="1"/>
    </xf>
    <xf numFmtId="0" fontId="7" fillId="3" borderId="20" xfId="0" applyFont="1" applyFill="1" applyBorder="1" applyAlignment="1">
      <alignment horizontal="center" vertical="center" wrapText="1"/>
    </xf>
    <xf numFmtId="0" fontId="0" fillId="0" borderId="1" xfId="0" applyBorder="1" applyAlignment="1">
      <alignment vertical="center"/>
    </xf>
    <xf numFmtId="0" fontId="2" fillId="11" borderId="1" xfId="0" applyFont="1" applyFill="1" applyBorder="1" applyAlignment="1">
      <alignment horizontal="center" vertical="center" wrapText="1"/>
    </xf>
    <xf numFmtId="0" fontId="22" fillId="11" borderId="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0" fillId="8" borderId="1" xfId="0" applyFill="1" applyBorder="1" applyAlignment="1">
      <alignment horizontal="center" vertical="center"/>
    </xf>
    <xf numFmtId="0" fontId="9" fillId="23" borderId="1" xfId="0" applyFont="1" applyFill="1" applyBorder="1" applyAlignment="1">
      <alignment horizontal="center" vertical="center"/>
    </xf>
    <xf numFmtId="0" fontId="0" fillId="0" borderId="35" xfId="0" applyBorder="1" applyAlignment="1">
      <alignment vertical="center"/>
    </xf>
    <xf numFmtId="0" fontId="0" fillId="0" borderId="33" xfId="0" applyBorder="1" applyAlignment="1">
      <alignment vertical="center"/>
    </xf>
    <xf numFmtId="0" fontId="0" fillId="0" borderId="1" xfId="0" applyBorder="1" applyAlignment="1">
      <alignment horizontal="left" vertical="center" wrapText="1"/>
    </xf>
    <xf numFmtId="0" fontId="0" fillId="0" borderId="1" xfId="0" applyBorder="1" applyAlignment="1">
      <alignment horizontal="left" vertical="center"/>
    </xf>
    <xf numFmtId="0" fontId="2" fillId="15" borderId="1" xfId="0" applyFont="1" applyFill="1" applyBorder="1" applyAlignment="1">
      <alignment horizontal="center" vertical="center" wrapText="1"/>
    </xf>
    <xf numFmtId="0" fontId="0" fillId="0" borderId="0" xfId="0" applyAlignment="1">
      <alignment horizontal="left" vertical="center"/>
    </xf>
    <xf numFmtId="0" fontId="1" fillId="8" borderId="1" xfId="0" applyFont="1" applyFill="1" applyBorder="1"/>
    <xf numFmtId="0" fontId="1" fillId="8" borderId="1" xfId="0" applyFont="1" applyFill="1" applyBorder="1" applyAlignment="1">
      <alignment horizontal="center" vertical="center"/>
    </xf>
    <xf numFmtId="0" fontId="0" fillId="15" borderId="1" xfId="0" applyFill="1" applyBorder="1" applyAlignment="1">
      <alignment horizontal="center" vertical="center"/>
    </xf>
    <xf numFmtId="0" fontId="23" fillId="0" borderId="46" xfId="0" applyFont="1" applyBorder="1" applyAlignment="1">
      <alignment horizontal="center" vertical="center"/>
    </xf>
    <xf numFmtId="0" fontId="0" fillId="0" borderId="23" xfId="0" applyBorder="1" applyAlignment="1">
      <alignment vertical="center"/>
    </xf>
    <xf numFmtId="0" fontId="6" fillId="0" borderId="12" xfId="0" applyFont="1" applyBorder="1" applyAlignment="1">
      <alignment vertical="center"/>
    </xf>
    <xf numFmtId="0" fontId="9" fillId="0" borderId="1" xfId="0" applyFont="1" applyBorder="1" applyAlignment="1">
      <alignment horizontal="left" vertical="center" wrapText="1"/>
    </xf>
    <xf numFmtId="0" fontId="0" fillId="0" borderId="1" xfId="0" applyBorder="1" applyAlignment="1">
      <alignment horizontal="left" vertical="center" wrapText="1" shrinkToFit="1"/>
    </xf>
    <xf numFmtId="0" fontId="9" fillId="0" borderId="39" xfId="0" applyFont="1" applyBorder="1"/>
    <xf numFmtId="0" fontId="35" fillId="0" borderId="0" xfId="0" applyFont="1"/>
    <xf numFmtId="0" fontId="35" fillId="4" borderId="1" xfId="0" applyFont="1" applyFill="1" applyBorder="1" applyAlignment="1">
      <alignment horizontal="center" vertical="center"/>
    </xf>
    <xf numFmtId="0" fontId="1" fillId="22" borderId="1" xfId="0" applyFont="1" applyFill="1" applyBorder="1"/>
    <xf numFmtId="0" fontId="0" fillId="22" borderId="1" xfId="0" applyFill="1" applyBorder="1"/>
    <xf numFmtId="0" fontId="0" fillId="12" borderId="1" xfId="0" applyFill="1" applyBorder="1" applyAlignment="1" applyProtection="1">
      <alignment horizontal="left"/>
      <protection locked="0"/>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9" fillId="4" borderId="56"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8" fillId="0" borderId="0" xfId="0" applyFont="1" applyAlignment="1">
      <alignment horizontal="center" vertical="center" wrapText="1"/>
    </xf>
    <xf numFmtId="0" fontId="41" fillId="28" borderId="1" xfId="0" applyFont="1" applyFill="1" applyBorder="1" applyAlignment="1">
      <alignment horizontal="center" vertical="center" wrapText="1"/>
    </xf>
    <xf numFmtId="0" fontId="38" fillId="0" borderId="0" xfId="0" applyFont="1"/>
    <xf numFmtId="0" fontId="38" fillId="0" borderId="1" xfId="0" applyFont="1" applyBorder="1" applyAlignment="1">
      <alignment horizontal="left" vertical="center" wrapText="1"/>
    </xf>
    <xf numFmtId="0" fontId="38" fillId="0" borderId="1" xfId="0" applyFont="1" applyBorder="1" applyAlignment="1">
      <alignment horizontal="center" vertical="center" wrapText="1"/>
    </xf>
    <xf numFmtId="0" fontId="38" fillId="0" borderId="1" xfId="0" applyFont="1" applyBorder="1" applyAlignment="1">
      <alignment horizontal="center" vertical="center"/>
    </xf>
    <xf numFmtId="0" fontId="36" fillId="4" borderId="1" xfId="0" applyFont="1" applyFill="1" applyBorder="1" applyAlignment="1">
      <alignment horizontal="center" vertical="center" wrapText="1" readingOrder="1"/>
    </xf>
    <xf numFmtId="0" fontId="39" fillId="4" borderId="1" xfId="0" applyFont="1" applyFill="1" applyBorder="1" applyAlignment="1">
      <alignment horizontal="center" vertical="center" wrapText="1" readingOrder="1"/>
    </xf>
    <xf numFmtId="0" fontId="35" fillId="0" borderId="1" xfId="0" applyFont="1" applyBorder="1" applyAlignment="1">
      <alignment horizontal="center" vertical="center"/>
    </xf>
    <xf numFmtId="0" fontId="35" fillId="0" borderId="1" xfId="0" applyFont="1" applyBorder="1" applyAlignment="1">
      <alignment horizontal="left"/>
    </xf>
    <xf numFmtId="0" fontId="35" fillId="0" borderId="1" xfId="0" applyFont="1" applyBorder="1"/>
    <xf numFmtId="0" fontId="45" fillId="4" borderId="1" xfId="0" applyFont="1" applyFill="1" applyBorder="1" applyAlignment="1">
      <alignment horizontal="center" vertical="center"/>
    </xf>
    <xf numFmtId="0" fontId="3" fillId="0" borderId="0" xfId="0" applyFont="1" applyAlignment="1">
      <alignment horizontal="center" vertical="center"/>
    </xf>
    <xf numFmtId="0" fontId="30" fillId="0" borderId="0" xfId="0" applyFont="1" applyAlignment="1">
      <alignment horizontal="center" vertical="center"/>
    </xf>
    <xf numFmtId="0" fontId="35" fillId="0" borderId="1" xfId="0" applyFont="1" applyBorder="1" applyAlignment="1">
      <alignment horizontal="center"/>
    </xf>
    <xf numFmtId="0" fontId="0" fillId="0" borderId="1" xfId="0" applyBorder="1" applyAlignment="1">
      <alignment horizontal="left" vertical="center" wrapText="1"/>
    </xf>
    <xf numFmtId="14" fontId="0" fillId="0" borderId="32" xfId="0" applyNumberFormat="1" applyBorder="1" applyAlignment="1" applyProtection="1">
      <alignment horizontal="center"/>
      <protection locked="0"/>
    </xf>
    <xf numFmtId="14" fontId="0" fillId="0" borderId="33" xfId="0" applyNumberFormat="1" applyBorder="1" applyAlignment="1" applyProtection="1">
      <alignment horizontal="center"/>
      <protection locked="0"/>
    </xf>
    <xf numFmtId="0" fontId="35" fillId="4" borderId="1" xfId="0" applyFont="1" applyFill="1" applyBorder="1" applyAlignment="1">
      <alignment horizontal="center" vertical="center"/>
    </xf>
    <xf numFmtId="0" fontId="35" fillId="0" borderId="1" xfId="0" applyFont="1" applyBorder="1" applyAlignment="1">
      <alignment horizontal="center" vertical="center"/>
    </xf>
    <xf numFmtId="0" fontId="0" fillId="0" borderId="1" xfId="0" applyBorder="1" applyAlignment="1" applyProtection="1">
      <alignment horizontal="center"/>
      <protection locked="0"/>
    </xf>
    <xf numFmtId="0" fontId="26" fillId="0" borderId="32" xfId="0" applyFont="1" applyBorder="1" applyAlignment="1">
      <alignment horizontal="center"/>
    </xf>
    <xf numFmtId="0" fontId="26" fillId="0" borderId="35" xfId="0" applyFont="1" applyBorder="1" applyAlignment="1">
      <alignment horizontal="center"/>
    </xf>
    <xf numFmtId="0" fontId="26" fillId="0" borderId="33" xfId="0" applyFont="1" applyBorder="1" applyAlignment="1">
      <alignment horizontal="center"/>
    </xf>
    <xf numFmtId="0" fontId="12" fillId="8" borderId="32" xfId="0" applyFont="1" applyFill="1" applyBorder="1" applyAlignment="1">
      <alignment horizontal="center"/>
    </xf>
    <xf numFmtId="0" fontId="12" fillId="8" borderId="35" xfId="0" applyFont="1" applyFill="1" applyBorder="1" applyAlignment="1">
      <alignment horizontal="center"/>
    </xf>
    <xf numFmtId="0" fontId="12" fillId="8" borderId="33" xfId="0" applyFont="1"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9" fillId="0" borderId="32" xfId="0" applyFont="1" applyBorder="1" applyAlignment="1" applyProtection="1">
      <alignment horizontal="center" vertical="center"/>
      <protection locked="0"/>
    </xf>
    <xf numFmtId="0" fontId="9" fillId="0" borderId="35" xfId="0" applyFont="1" applyBorder="1" applyAlignment="1" applyProtection="1">
      <alignment horizontal="center" vertical="center"/>
      <protection locked="0"/>
    </xf>
    <xf numFmtId="0" fontId="9" fillId="0" borderId="33" xfId="0" applyFont="1" applyBorder="1" applyAlignment="1" applyProtection="1">
      <alignment horizontal="center" vertical="center"/>
      <protection locked="0"/>
    </xf>
    <xf numFmtId="0" fontId="35" fillId="0" borderId="1" xfId="0" applyFont="1" applyBorder="1" applyAlignment="1" applyProtection="1">
      <alignment horizontal="center"/>
      <protection locked="0"/>
    </xf>
    <xf numFmtId="0" fontId="29" fillId="0" borderId="0" xfId="1" applyFill="1" applyAlignment="1" applyProtection="1">
      <alignment vertical="top" wrapText="1"/>
    </xf>
    <xf numFmtId="49" fontId="0" fillId="0" borderId="32" xfId="0" applyNumberFormat="1" applyBorder="1" applyAlignment="1" applyProtection="1">
      <alignment horizontal="center"/>
      <protection locked="0"/>
    </xf>
    <xf numFmtId="49" fontId="0" fillId="0" borderId="33" xfId="0" applyNumberFormat="1" applyBorder="1" applyAlignment="1" applyProtection="1">
      <alignment horizontal="center"/>
      <protection locked="0"/>
    </xf>
    <xf numFmtId="0" fontId="0" fillId="0" borderId="32" xfId="0" applyBorder="1" applyAlignment="1" applyProtection="1">
      <alignment horizontal="center"/>
      <protection locked="0"/>
    </xf>
    <xf numFmtId="0" fontId="0" fillId="0" borderId="33" xfId="0" applyBorder="1" applyAlignment="1" applyProtection="1">
      <alignment horizontal="center"/>
      <protection locked="0"/>
    </xf>
    <xf numFmtId="0" fontId="12" fillId="8" borderId="1" xfId="0" applyFont="1" applyFill="1" applyBorder="1" applyAlignment="1">
      <alignment horizontal="center"/>
    </xf>
    <xf numFmtId="0" fontId="0" fillId="8" borderId="1" xfId="0" applyFill="1" applyBorder="1" applyAlignment="1">
      <alignment horizontal="center"/>
    </xf>
    <xf numFmtId="0" fontId="0" fillId="8" borderId="32" xfId="0" applyFill="1" applyBorder="1" applyAlignment="1">
      <alignment horizontal="center"/>
    </xf>
    <xf numFmtId="0" fontId="0" fillId="8" borderId="35" xfId="0" applyFill="1" applyBorder="1" applyAlignment="1">
      <alignment horizontal="center"/>
    </xf>
    <xf numFmtId="0" fontId="0" fillId="8" borderId="33" xfId="0" applyFill="1" applyBorder="1" applyAlignment="1">
      <alignment horizontal="center"/>
    </xf>
    <xf numFmtId="0" fontId="0" fillId="0" borderId="28" xfId="0" applyBorder="1" applyAlignment="1">
      <alignment horizontal="center" wrapText="1"/>
    </xf>
    <xf numFmtId="0" fontId="0" fillId="0" borderId="42" xfId="0" applyBorder="1" applyAlignment="1">
      <alignment horizontal="center" wrapText="1"/>
    </xf>
    <xf numFmtId="0" fontId="0" fillId="0" borderId="29" xfId="0" applyBorder="1" applyAlignment="1">
      <alignment horizontal="center" wrapText="1"/>
    </xf>
    <xf numFmtId="0" fontId="0" fillId="0" borderId="43" xfId="0" applyBorder="1" applyAlignment="1">
      <alignment horizontal="center" wrapText="1"/>
    </xf>
    <xf numFmtId="0" fontId="0" fillId="0" borderId="30" xfId="0" applyBorder="1" applyAlignment="1">
      <alignment horizontal="center" wrapText="1"/>
    </xf>
    <xf numFmtId="0" fontId="0" fillId="0" borderId="31" xfId="0" applyBorder="1" applyAlignment="1">
      <alignment horizontal="center" wrapText="1"/>
    </xf>
    <xf numFmtId="0" fontId="2" fillId="0" borderId="0" xfId="0" applyFont="1" applyAlignment="1">
      <alignment horizontal="center" vertical="top" wrapText="1"/>
    </xf>
    <xf numFmtId="0" fontId="1" fillId="8" borderId="1" xfId="0" applyFont="1" applyFill="1" applyBorder="1" applyAlignment="1">
      <alignment horizontal="center" vertical="center" wrapText="1"/>
    </xf>
    <xf numFmtId="0" fontId="0" fillId="0" borderId="1" xfId="0" applyBorder="1" applyAlignment="1">
      <alignment horizontal="left" vertical="center"/>
    </xf>
    <xf numFmtId="0" fontId="12" fillId="0" borderId="1" xfId="0" applyFont="1" applyBorder="1" applyAlignment="1">
      <alignment horizontal="center" vertical="center"/>
    </xf>
    <xf numFmtId="0" fontId="0" fillId="4" borderId="1" xfId="0" applyFill="1" applyBorder="1" applyAlignment="1">
      <alignment horizontal="center" vertical="center"/>
    </xf>
    <xf numFmtId="0" fontId="35" fillId="0" borderId="40" xfId="0" applyFont="1" applyBorder="1" applyAlignment="1">
      <alignment horizontal="center"/>
    </xf>
    <xf numFmtId="0" fontId="35" fillId="0" borderId="23" xfId="0" applyFont="1" applyBorder="1" applyAlignment="1">
      <alignment horizontal="center"/>
    </xf>
    <xf numFmtId="0" fontId="0" fillId="0" borderId="28" xfId="0" applyBorder="1" applyAlignment="1">
      <alignment horizontal="center" vertical="center" wrapText="1"/>
    </xf>
    <xf numFmtId="0" fontId="0" fillId="0" borderId="44" xfId="0" applyBorder="1" applyAlignment="1">
      <alignment horizontal="center" vertical="center" wrapText="1"/>
    </xf>
    <xf numFmtId="0" fontId="0" fillId="0" borderId="42" xfId="0" applyBorder="1" applyAlignment="1">
      <alignment horizontal="center" vertical="center" wrapText="1"/>
    </xf>
    <xf numFmtId="0" fontId="0" fillId="0" borderId="30" xfId="0" applyBorder="1" applyAlignment="1">
      <alignment horizontal="center" vertical="center" wrapText="1"/>
    </xf>
    <xf numFmtId="0" fontId="0" fillId="0" borderId="45" xfId="0" applyBorder="1" applyAlignment="1">
      <alignment horizontal="center" vertical="center" wrapText="1"/>
    </xf>
    <xf numFmtId="0" fontId="0" fillId="0" borderId="31" xfId="0" applyBorder="1" applyAlignment="1">
      <alignment horizontal="center" vertical="center" wrapText="1"/>
    </xf>
    <xf numFmtId="0" fontId="0" fillId="0" borderId="32" xfId="0" applyBorder="1" applyAlignment="1">
      <alignment horizontal="center" vertical="center" wrapText="1"/>
    </xf>
    <xf numFmtId="0" fontId="0" fillId="0" borderId="35" xfId="0" applyBorder="1" applyAlignment="1">
      <alignment horizontal="center" vertical="center" wrapText="1"/>
    </xf>
    <xf numFmtId="0" fontId="0" fillId="0" borderId="33" xfId="0" applyBorder="1" applyAlignment="1">
      <alignment horizontal="center" vertical="center" wrapText="1"/>
    </xf>
    <xf numFmtId="0" fontId="0" fillId="0" borderId="17" xfId="0" applyBorder="1" applyAlignment="1">
      <alignment horizontal="center"/>
    </xf>
    <xf numFmtId="0" fontId="0" fillId="0" borderId="1" xfId="0" applyBorder="1" applyAlignment="1">
      <alignment horizontal="center"/>
    </xf>
    <xf numFmtId="0" fontId="0" fillId="0" borderId="18" xfId="0" applyBorder="1" applyAlignment="1">
      <alignment horizontal="center"/>
    </xf>
    <xf numFmtId="0" fontId="0" fillId="25" borderId="17" xfId="0" applyFill="1" applyBorder="1" applyAlignment="1">
      <alignment horizontal="center"/>
    </xf>
    <xf numFmtId="0" fontId="0" fillId="25" borderId="1" xfId="0" applyFill="1" applyBorder="1" applyAlignment="1">
      <alignment horizontal="center"/>
    </xf>
    <xf numFmtId="0" fontId="0" fillId="25" borderId="18" xfId="0" applyFill="1" applyBorder="1" applyAlignment="1">
      <alignment horizontal="center"/>
    </xf>
    <xf numFmtId="0" fontId="0" fillId="0" borderId="15" xfId="0" applyBorder="1" applyAlignment="1">
      <alignment horizontal="center"/>
    </xf>
    <xf numFmtId="0" fontId="0" fillId="0" borderId="21" xfId="0" applyBorder="1" applyAlignment="1">
      <alignment horizontal="center"/>
    </xf>
    <xf numFmtId="0" fontId="0" fillId="0" borderId="16" xfId="0" applyBorder="1" applyAlignment="1">
      <alignment horizontal="center"/>
    </xf>
    <xf numFmtId="0" fontId="7" fillId="8" borderId="6" xfId="0" applyFont="1" applyFill="1" applyBorder="1" applyAlignment="1">
      <alignment horizontal="center"/>
    </xf>
    <xf numFmtId="0" fontId="7" fillId="8" borderId="12" xfId="0" applyFont="1" applyFill="1" applyBorder="1" applyAlignment="1">
      <alignment horizontal="center"/>
    </xf>
    <xf numFmtId="0" fontId="7" fillId="8" borderId="7" xfId="0" applyFont="1" applyFill="1" applyBorder="1" applyAlignment="1">
      <alignment horizontal="center"/>
    </xf>
    <xf numFmtId="0" fontId="0" fillId="0" borderId="12" xfId="0" applyBorder="1" applyAlignment="1">
      <alignment horizontal="left" vertical="top" wrapText="1"/>
    </xf>
    <xf numFmtId="0" fontId="0" fillId="0" borderId="7" xfId="0" applyBorder="1" applyAlignment="1">
      <alignment horizontal="left" vertical="top" wrapText="1"/>
    </xf>
    <xf numFmtId="0" fontId="0" fillId="0" borderId="0" xfId="0" applyAlignment="1">
      <alignment horizontal="left" vertical="top" wrapText="1"/>
    </xf>
    <xf numFmtId="0" fontId="0" fillId="0" borderId="9" xfId="0" applyBorder="1" applyAlignment="1">
      <alignment horizontal="left" vertical="top" wrapText="1"/>
    </xf>
    <xf numFmtId="0" fontId="0" fillId="0" borderId="22" xfId="0" applyBorder="1" applyAlignment="1">
      <alignment horizontal="left" vertical="top" wrapText="1"/>
    </xf>
    <xf numFmtId="0" fontId="0" fillId="0" borderId="11" xfId="0" applyBorder="1" applyAlignment="1">
      <alignment horizontal="left" vertical="top" wrapText="1"/>
    </xf>
    <xf numFmtId="0" fontId="12" fillId="8" borderId="36" xfId="0" applyFont="1" applyFill="1" applyBorder="1" applyAlignment="1">
      <alignment horizontal="center"/>
    </xf>
    <xf numFmtId="0" fontId="12" fillId="8" borderId="37" xfId="0" applyFont="1" applyFill="1" applyBorder="1" applyAlignment="1">
      <alignment horizontal="center"/>
    </xf>
    <xf numFmtId="0" fontId="12" fillId="8" borderId="38" xfId="0" applyFont="1" applyFill="1" applyBorder="1" applyAlignment="1">
      <alignment horizontal="center"/>
    </xf>
    <xf numFmtId="0" fontId="0" fillId="24" borderId="26" xfId="0" applyFill="1" applyBorder="1" applyAlignment="1">
      <alignment horizontal="center"/>
    </xf>
    <xf numFmtId="0" fontId="0" fillId="24" borderId="20" xfId="0" applyFill="1" applyBorder="1" applyAlignment="1">
      <alignment horizontal="center"/>
    </xf>
    <xf numFmtId="0" fontId="0" fillId="24" borderId="27" xfId="0" applyFill="1" applyBorder="1" applyAlignment="1">
      <alignment horizontal="center"/>
    </xf>
    <xf numFmtId="0" fontId="0" fillId="24" borderId="17" xfId="0" applyFill="1" applyBorder="1" applyAlignment="1">
      <alignment horizontal="center"/>
    </xf>
    <xf numFmtId="0" fontId="0" fillId="24" borderId="1" xfId="0" applyFill="1" applyBorder="1" applyAlignment="1">
      <alignment horizontal="center"/>
    </xf>
    <xf numFmtId="0" fontId="0" fillId="24" borderId="18" xfId="0" applyFill="1" applyBorder="1" applyAlignment="1">
      <alignment horizontal="center"/>
    </xf>
    <xf numFmtId="0" fontId="1" fillId="8" borderId="35" xfId="0" applyFont="1" applyFill="1" applyBorder="1" applyAlignment="1">
      <alignment horizontal="left"/>
    </xf>
    <xf numFmtId="0" fontId="0" fillId="25" borderId="26" xfId="0" applyFill="1" applyBorder="1" applyAlignment="1">
      <alignment horizontal="center"/>
    </xf>
    <xf numFmtId="0" fontId="0" fillId="25" borderId="20" xfId="0" applyFill="1" applyBorder="1" applyAlignment="1">
      <alignment horizontal="center"/>
    </xf>
    <xf numFmtId="0" fontId="0" fillId="25" borderId="27" xfId="0" applyFill="1" applyBorder="1" applyAlignment="1">
      <alignment horizontal="center"/>
    </xf>
    <xf numFmtId="0" fontId="12" fillId="12" borderId="32" xfId="0" applyFont="1" applyFill="1" applyBorder="1" applyAlignment="1">
      <alignment horizontal="center"/>
    </xf>
    <xf numFmtId="0" fontId="12" fillId="12" borderId="35" xfId="0" applyFont="1" applyFill="1" applyBorder="1" applyAlignment="1">
      <alignment horizontal="center"/>
    </xf>
    <xf numFmtId="0" fontId="12" fillId="12" borderId="33" xfId="0" applyFont="1" applyFill="1" applyBorder="1" applyAlignment="1">
      <alignment horizontal="center"/>
    </xf>
    <xf numFmtId="0" fontId="0" fillId="0" borderId="1" xfId="0" applyBorder="1" applyAlignment="1">
      <alignment horizontal="center" wrapText="1"/>
    </xf>
    <xf numFmtId="0" fontId="0" fillId="0" borderId="1" xfId="0" applyBorder="1" applyAlignment="1">
      <alignment horizontal="center" vertical="center" wrapText="1"/>
    </xf>
    <xf numFmtId="0" fontId="0" fillId="0" borderId="35" xfId="0" applyBorder="1" applyAlignment="1">
      <alignment horizontal="center"/>
    </xf>
    <xf numFmtId="0" fontId="0" fillId="8" borderId="1" xfId="0" applyFill="1" applyBorder="1" applyAlignment="1">
      <alignment horizontal="center" vertical="center"/>
    </xf>
    <xf numFmtId="0" fontId="38" fillId="0" borderId="1" xfId="0" applyFont="1" applyBorder="1" applyAlignment="1">
      <alignment horizontal="left" vertical="center" wrapText="1"/>
    </xf>
    <xf numFmtId="0" fontId="41" fillId="28" borderId="1" xfId="0" applyFont="1" applyFill="1" applyBorder="1" applyAlignment="1">
      <alignment horizontal="center" vertical="center" wrapText="1"/>
    </xf>
    <xf numFmtId="14" fontId="0" fillId="4" borderId="3" xfId="0" applyNumberFormat="1" applyFill="1" applyBorder="1" applyAlignment="1">
      <alignment horizontal="center" vertical="center" wrapText="1"/>
    </xf>
    <xf numFmtId="14" fontId="0" fillId="4" borderId="4" xfId="0" applyNumberFormat="1" applyFill="1" applyBorder="1" applyAlignment="1">
      <alignment horizontal="center" vertical="center" wrapText="1"/>
    </xf>
    <xf numFmtId="0" fontId="10" fillId="0" borderId="0" xfId="0" applyFont="1" applyAlignment="1">
      <alignment horizontal="left" vertical="center" wrapText="1"/>
    </xf>
    <xf numFmtId="0" fontId="9" fillId="0" borderId="40" xfId="0" applyFont="1" applyBorder="1" applyAlignment="1">
      <alignment horizontal="center" vertical="center" wrapText="1"/>
    </xf>
    <xf numFmtId="0" fontId="9" fillId="0" borderId="39" xfId="0" applyFont="1" applyBorder="1" applyAlignment="1">
      <alignment horizontal="center" vertical="center" wrapText="1"/>
    </xf>
    <xf numFmtId="0" fontId="9" fillId="0" borderId="23" xfId="0" applyFont="1" applyBorder="1" applyAlignment="1">
      <alignment horizontal="center" vertical="center" wrapText="1"/>
    </xf>
    <xf numFmtId="0" fontId="0" fillId="4" borderId="2" xfId="0" applyFill="1" applyBorder="1" applyAlignment="1">
      <alignment horizontal="center" vertical="center" wrapText="1"/>
    </xf>
    <xf numFmtId="0" fontId="0" fillId="4" borderId="3" xfId="0" applyFill="1" applyBorder="1" applyAlignment="1">
      <alignment horizontal="center" vertical="center" wrapText="1"/>
    </xf>
    <xf numFmtId="0" fontId="0" fillId="4" borderId="4" xfId="0" applyFill="1" applyBorder="1" applyAlignment="1">
      <alignment horizontal="center" vertical="center" wrapText="1"/>
    </xf>
    <xf numFmtId="0" fontId="0" fillId="4" borderId="6"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7" xfId="0" applyFill="1"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1" fillId="11" borderId="1" xfId="0" applyFont="1" applyFill="1" applyBorder="1" applyAlignment="1">
      <alignment horizontal="center" vertical="center" wrapText="1"/>
    </xf>
    <xf numFmtId="0" fontId="21" fillId="3" borderId="23" xfId="0" applyFont="1" applyFill="1" applyBorder="1" applyAlignment="1">
      <alignment horizontal="left" vertical="center" wrapText="1" indent="1"/>
    </xf>
    <xf numFmtId="0" fontId="39" fillId="28" borderId="48" xfId="0" applyFont="1" applyFill="1" applyBorder="1" applyAlignment="1">
      <alignment horizontal="center" vertical="center" wrapText="1" readingOrder="1"/>
    </xf>
    <xf numFmtId="0" fontId="39" fillId="28" borderId="49" xfId="0" applyFont="1" applyFill="1" applyBorder="1" applyAlignment="1">
      <alignment horizontal="center" vertical="center" wrapText="1" readingOrder="1"/>
    </xf>
    <xf numFmtId="0" fontId="39" fillId="28" borderId="50" xfId="0" applyFont="1" applyFill="1" applyBorder="1" applyAlignment="1">
      <alignment horizontal="center" vertical="center" wrapText="1" readingOrder="1"/>
    </xf>
    <xf numFmtId="0" fontId="36" fillId="4" borderId="51" xfId="0" applyFont="1" applyFill="1" applyBorder="1" applyAlignment="1">
      <alignment horizontal="center" vertical="center" wrapText="1" readingOrder="1"/>
    </xf>
    <xf numFmtId="0" fontId="36" fillId="4" borderId="55" xfId="0" applyFont="1" applyFill="1" applyBorder="1" applyAlignment="1">
      <alignment horizontal="center" vertical="center" wrapText="1" readingOrder="1"/>
    </xf>
    <xf numFmtId="0" fontId="36" fillId="4" borderId="56" xfId="0" applyFont="1" applyFill="1" applyBorder="1" applyAlignment="1">
      <alignment horizontal="center" vertical="center" wrapText="1" readingOrder="1"/>
    </xf>
    <xf numFmtId="0" fontId="36" fillId="28" borderId="52" xfId="0" applyFont="1" applyFill="1" applyBorder="1" applyAlignment="1">
      <alignment horizontal="center" vertical="center" wrapText="1" readingOrder="1"/>
    </xf>
    <xf numFmtId="0" fontId="36" fillId="28" borderId="53" xfId="0" applyFont="1" applyFill="1" applyBorder="1" applyAlignment="1">
      <alignment horizontal="center" vertical="center" wrapText="1" readingOrder="1"/>
    </xf>
    <xf numFmtId="0" fontId="36" fillId="28" borderId="54" xfId="0" applyFont="1" applyFill="1" applyBorder="1" applyAlignment="1">
      <alignment horizontal="center" vertical="center" wrapText="1" readingOrder="1"/>
    </xf>
    <xf numFmtId="0" fontId="38" fillId="28" borderId="1" xfId="0" applyFont="1" applyFill="1" applyBorder="1" applyAlignment="1">
      <alignment horizontal="center" vertical="center" wrapText="1"/>
    </xf>
    <xf numFmtId="0" fontId="0" fillId="0" borderId="40" xfId="0" applyBorder="1" applyAlignment="1">
      <alignment horizontal="center" vertical="center" wrapText="1"/>
    </xf>
    <xf numFmtId="0" fontId="0" fillId="0" borderId="39" xfId="0" applyBorder="1" applyAlignment="1">
      <alignment horizontal="center" vertical="center" wrapText="1"/>
    </xf>
    <xf numFmtId="0" fontId="0" fillId="0" borderId="23" xfId="0" applyBorder="1" applyAlignment="1">
      <alignment horizontal="center"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27" borderId="1" xfId="0" applyFill="1" applyBorder="1" applyAlignment="1">
      <alignment horizontal="left" vertical="center" wrapText="1"/>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15" borderId="1" xfId="0" applyFill="1" applyBorder="1" applyAlignment="1">
      <alignment horizontal="center" vertical="center"/>
    </xf>
    <xf numFmtId="0" fontId="2" fillId="15" borderId="1" xfId="0" applyFont="1" applyFill="1" applyBorder="1" applyAlignment="1">
      <alignment horizontal="center"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7" fillId="18" borderId="32" xfId="0" applyFont="1" applyFill="1" applyBorder="1" applyAlignment="1">
      <alignment horizontal="center" vertical="center" wrapText="1"/>
    </xf>
    <xf numFmtId="0" fontId="7" fillId="18" borderId="33" xfId="0" applyFont="1" applyFill="1" applyBorder="1" applyAlignment="1">
      <alignment horizontal="center" vertical="center" wrapText="1"/>
    </xf>
    <xf numFmtId="0" fontId="7" fillId="16" borderId="32" xfId="0" applyFont="1" applyFill="1" applyBorder="1" applyAlignment="1">
      <alignment horizontal="center" vertical="center" wrapText="1"/>
    </xf>
    <xf numFmtId="0" fontId="7" fillId="16" borderId="33" xfId="0" applyFont="1" applyFill="1" applyBorder="1" applyAlignment="1">
      <alignment horizontal="center" vertical="center" wrapText="1"/>
    </xf>
    <xf numFmtId="0" fontId="3" fillId="0" borderId="1" xfId="0" applyFont="1" applyBorder="1" applyAlignment="1">
      <alignment horizontal="center" vertical="center" wrapText="1"/>
    </xf>
    <xf numFmtId="0" fontId="4" fillId="0" borderId="1" xfId="0" applyFont="1" applyBorder="1" applyAlignment="1">
      <alignment horizontal="center" vertical="center" wrapText="1"/>
    </xf>
    <xf numFmtId="0" fontId="33" fillId="0" borderId="1" xfId="0" applyFont="1" applyBorder="1" applyAlignment="1">
      <alignment horizontal="center" vertical="center" wrapText="1"/>
    </xf>
    <xf numFmtId="0" fontId="0" fillId="0" borderId="1" xfId="0" applyBorder="1" applyAlignment="1">
      <alignment horizontal="center" vertical="top" wrapText="1"/>
    </xf>
    <xf numFmtId="0" fontId="30" fillId="0" borderId="1" xfId="0" applyFont="1" applyBorder="1" applyAlignment="1">
      <alignment horizontal="center" vertical="center" wrapText="1"/>
    </xf>
    <xf numFmtId="0" fontId="0" fillId="0" borderId="1" xfId="0" applyBorder="1" applyAlignment="1">
      <alignment horizontal="center" vertical="center"/>
    </xf>
    <xf numFmtId="0" fontId="0" fillId="15" borderId="1" xfId="0" applyFill="1" applyBorder="1" applyAlignment="1">
      <alignment horizontal="center" vertical="center" wrapText="1"/>
    </xf>
    <xf numFmtId="0" fontId="0" fillId="0" borderId="1" xfId="0" applyBorder="1" applyAlignment="1">
      <alignment horizontal="center" vertical="top"/>
    </xf>
    <xf numFmtId="0" fontId="0" fillId="27" borderId="32" xfId="0" applyFill="1" applyBorder="1" applyAlignment="1">
      <alignment horizontal="left" vertical="center" wrapText="1"/>
    </xf>
    <xf numFmtId="0" fontId="0" fillId="27" borderId="33" xfId="0" applyFill="1" applyBorder="1" applyAlignment="1">
      <alignment horizontal="left" vertical="center" wrapText="1"/>
    </xf>
    <xf numFmtId="0" fontId="2" fillId="0" borderId="1" xfId="0" applyFont="1" applyBorder="1" applyAlignment="1">
      <alignment horizontal="center" vertical="center" wrapText="1"/>
    </xf>
    <xf numFmtId="0" fontId="33" fillId="3" borderId="1" xfId="0" applyFont="1" applyFill="1" applyBorder="1" applyAlignment="1">
      <alignment horizontal="center" vertical="center" wrapText="1"/>
    </xf>
    <xf numFmtId="0" fontId="3" fillId="3" borderId="1" xfId="0" applyFont="1" applyFill="1" applyBorder="1" applyAlignment="1">
      <alignment horizontal="center" vertical="center" wrapText="1"/>
    </xf>
    <xf numFmtId="0" fontId="3" fillId="0" borderId="23" xfId="0" applyFont="1" applyBorder="1" applyAlignment="1">
      <alignment horizontal="center" vertical="center" wrapText="1"/>
    </xf>
    <xf numFmtId="0" fontId="6" fillId="0" borderId="47" xfId="0" applyFont="1" applyBorder="1" applyAlignment="1">
      <alignment horizontal="center" vertical="center"/>
    </xf>
    <xf numFmtId="0" fontId="6" fillId="0" borderId="3" xfId="0" applyFont="1" applyBorder="1" applyAlignment="1">
      <alignment horizontal="center" vertical="center"/>
    </xf>
    <xf numFmtId="0" fontId="7" fillId="19" borderId="30" xfId="0" applyFont="1" applyFill="1" applyBorder="1" applyAlignment="1">
      <alignment horizontal="center" vertical="center" wrapText="1"/>
    </xf>
    <xf numFmtId="0" fontId="7" fillId="19" borderId="45" xfId="0" applyFont="1" applyFill="1" applyBorder="1" applyAlignment="1">
      <alignment horizontal="center" vertical="center" wrapText="1"/>
    </xf>
    <xf numFmtId="0" fontId="7" fillId="20" borderId="35" xfId="0" applyFont="1" applyFill="1" applyBorder="1" applyAlignment="1">
      <alignment horizontal="center" vertical="center" wrapText="1"/>
    </xf>
    <xf numFmtId="0" fontId="7" fillId="20" borderId="33" xfId="0" applyFont="1" applyFill="1" applyBorder="1" applyAlignment="1">
      <alignment horizontal="center" vertical="center" wrapText="1"/>
    </xf>
    <xf numFmtId="0" fontId="1" fillId="28" borderId="1" xfId="0" applyFont="1" applyFill="1" applyBorder="1" applyAlignment="1">
      <alignment horizontal="center" vertical="center" wrapText="1"/>
    </xf>
    <xf numFmtId="0" fontId="41" fillId="28" borderId="32" xfId="0" applyFont="1" applyFill="1" applyBorder="1" applyAlignment="1">
      <alignment horizontal="center" vertical="center"/>
    </xf>
    <xf numFmtId="0" fontId="41" fillId="28" borderId="33" xfId="0" applyFont="1" applyFill="1" applyBorder="1" applyAlignment="1">
      <alignment horizontal="center" vertical="center"/>
    </xf>
    <xf numFmtId="0" fontId="38" fillId="28" borderId="32" xfId="0" applyFont="1" applyFill="1" applyBorder="1" applyAlignment="1">
      <alignment horizontal="center" vertical="center" wrapText="1"/>
    </xf>
    <xf numFmtId="0" fontId="38" fillId="28" borderId="33" xfId="0" applyFont="1" applyFill="1" applyBorder="1" applyAlignment="1">
      <alignment horizontal="center" vertical="center" wrapText="1"/>
    </xf>
    <xf numFmtId="0" fontId="38" fillId="0" borderId="1" xfId="0" applyFont="1" applyBorder="1" applyAlignment="1">
      <alignment horizontal="center" vertical="center" wrapText="1"/>
    </xf>
    <xf numFmtId="0" fontId="36" fillId="4" borderId="1" xfId="0" applyFont="1" applyFill="1" applyBorder="1" applyAlignment="1">
      <alignment horizontal="center" vertical="center" wrapText="1" readingOrder="1"/>
    </xf>
    <xf numFmtId="0" fontId="39" fillId="28" borderId="1" xfId="0" applyFont="1" applyFill="1" applyBorder="1" applyAlignment="1">
      <alignment horizontal="center" vertical="center" wrapText="1" readingOrder="1"/>
    </xf>
    <xf numFmtId="0" fontId="36" fillId="28" borderId="1" xfId="0" applyFont="1" applyFill="1" applyBorder="1" applyAlignment="1">
      <alignment horizontal="center" vertical="center" wrapText="1" readingOrder="1"/>
    </xf>
    <xf numFmtId="0" fontId="0" fillId="0" borderId="6" xfId="0" applyBorder="1" applyAlignment="1">
      <alignment horizontal="center"/>
    </xf>
    <xf numFmtId="0" fontId="0" fillId="0" borderId="12" xfId="0"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9" xfId="0" applyBorder="1" applyAlignment="1">
      <alignment horizontal="center"/>
    </xf>
    <xf numFmtId="0" fontId="0" fillId="0" borderId="10" xfId="0" applyBorder="1" applyAlignment="1">
      <alignment horizontal="center"/>
    </xf>
    <xf numFmtId="0" fontId="0" fillId="0" borderId="22" xfId="0" applyBorder="1" applyAlignment="1">
      <alignment horizontal="center"/>
    </xf>
    <xf numFmtId="0" fontId="0" fillId="0" borderId="11" xfId="0" applyBorder="1" applyAlignment="1">
      <alignment horizontal="center"/>
    </xf>
    <xf numFmtId="0" fontId="0" fillId="10" borderId="0" xfId="0" applyFill="1" applyAlignment="1">
      <alignment vertical="center" wrapText="1"/>
    </xf>
    <xf numFmtId="0" fontId="0" fillId="9" borderId="0" xfId="0" applyFill="1" applyAlignment="1">
      <alignment vertical="center" wrapText="1"/>
    </xf>
    <xf numFmtId="0" fontId="0" fillId="6" borderId="2" xfId="0" applyFill="1" applyBorder="1" applyAlignment="1">
      <alignment horizontal="center" vertical="center" wrapText="1"/>
    </xf>
    <xf numFmtId="0" fontId="0" fillId="6" borderId="3" xfId="0" applyFill="1" applyBorder="1" applyAlignment="1">
      <alignment horizontal="center" vertical="center" wrapText="1"/>
    </xf>
    <xf numFmtId="0" fontId="0" fillId="6" borderId="4" xfId="0" applyFill="1" applyBorder="1" applyAlignment="1">
      <alignment horizontal="center" vertical="center"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0" xfId="0" applyBorder="1" applyAlignment="1">
      <alignment horizontal="left" vertical="top" wrapText="1"/>
    </xf>
    <xf numFmtId="0" fontId="1" fillId="5" borderId="2"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5" borderId="4" xfId="0" applyFont="1" applyFill="1" applyBorder="1" applyAlignment="1">
      <alignment horizontal="center" vertical="center" wrapText="1"/>
    </xf>
    <xf numFmtId="0" fontId="0" fillId="0" borderId="26" xfId="0" applyBorder="1" applyAlignment="1">
      <alignment horizontal="center" vertical="center" wrapText="1"/>
    </xf>
    <xf numFmtId="0" fontId="0" fillId="0" borderId="20" xfId="0" applyBorder="1" applyAlignment="1">
      <alignment horizontal="center" vertical="center" wrapText="1"/>
    </xf>
    <xf numFmtId="0" fontId="0" fillId="0" borderId="15" xfId="0" applyBorder="1" applyAlignment="1">
      <alignment horizontal="center" vertical="center" wrapText="1"/>
    </xf>
    <xf numFmtId="0" fontId="0" fillId="0" borderId="21" xfId="0" applyBorder="1" applyAlignment="1">
      <alignment horizontal="center" vertical="center" wrapText="1"/>
    </xf>
    <xf numFmtId="0" fontId="0" fillId="0" borderId="27" xfId="0" applyBorder="1" applyAlignment="1">
      <alignment horizontal="center" vertical="center" wrapText="1"/>
    </xf>
    <xf numFmtId="0" fontId="0" fillId="0" borderId="16" xfId="0" applyBorder="1" applyAlignment="1">
      <alignment horizontal="center" vertical="center" wrapText="1"/>
    </xf>
    <xf numFmtId="0" fontId="0" fillId="0" borderId="10" xfId="0" applyBorder="1" applyAlignment="1">
      <alignment vertical="center" wrapText="1"/>
    </xf>
    <xf numFmtId="0" fontId="0" fillId="0" borderId="11" xfId="0" applyBorder="1" applyAlignment="1">
      <alignment vertical="center" wrapText="1"/>
    </xf>
    <xf numFmtId="0" fontId="0" fillId="0" borderId="2" xfId="0" applyBorder="1" applyAlignment="1">
      <alignment horizontal="left" vertical="center"/>
    </xf>
    <xf numFmtId="0" fontId="0" fillId="0" borderId="3" xfId="0" applyBorder="1" applyAlignment="1">
      <alignment horizontal="left" vertical="center"/>
    </xf>
    <xf numFmtId="0" fontId="0" fillId="0" borderId="4" xfId="0" applyBorder="1" applyAlignment="1">
      <alignment horizontal="left" vertical="center"/>
    </xf>
    <xf numFmtId="0" fontId="0" fillId="6" borderId="8" xfId="0" applyFill="1" applyBorder="1" applyAlignment="1">
      <alignment horizontal="center" vertical="center" wrapText="1"/>
    </xf>
    <xf numFmtId="0" fontId="0" fillId="6" borderId="0" xfId="0" applyFill="1" applyAlignment="1">
      <alignment horizontal="center" vertical="center" wrapText="1"/>
    </xf>
    <xf numFmtId="0" fontId="0" fillId="6" borderId="9" xfId="0" applyFill="1" applyBorder="1" applyAlignment="1">
      <alignment horizontal="center" vertical="center" wrapText="1"/>
    </xf>
    <xf numFmtId="14" fontId="0" fillId="0" borderId="2" xfId="0" applyNumberFormat="1" applyBorder="1" applyAlignment="1">
      <alignment horizontal="center" vertical="center"/>
    </xf>
    <xf numFmtId="0" fontId="1" fillId="7" borderId="2" xfId="0" applyFont="1" applyFill="1" applyBorder="1" applyAlignment="1">
      <alignment horizontal="center" vertical="center" wrapText="1"/>
    </xf>
    <xf numFmtId="0" fontId="1" fillId="7" borderId="3" xfId="0" applyFont="1" applyFill="1" applyBorder="1" applyAlignment="1">
      <alignment horizontal="center" vertical="center" wrapText="1"/>
    </xf>
    <xf numFmtId="0" fontId="1" fillId="7" borderId="4" xfId="0" applyFont="1" applyFill="1" applyBorder="1" applyAlignment="1">
      <alignment horizontal="center" vertical="center" wrapText="1"/>
    </xf>
    <xf numFmtId="0" fontId="0" fillId="6" borderId="10" xfId="0" applyFill="1" applyBorder="1" applyAlignment="1">
      <alignment horizontal="center" vertical="center" wrapText="1"/>
    </xf>
    <xf numFmtId="0" fontId="0" fillId="6" borderId="22" xfId="0" applyFill="1" applyBorder="1" applyAlignment="1">
      <alignment horizontal="center" vertical="center" wrapText="1"/>
    </xf>
    <xf numFmtId="0" fontId="0" fillId="6" borderId="11" xfId="0" applyFill="1" applyBorder="1" applyAlignment="1">
      <alignment horizontal="center" vertical="center" wrapText="1"/>
    </xf>
    <xf numFmtId="0" fontId="0" fillId="0" borderId="18" xfId="0" applyBorder="1" applyAlignment="1">
      <alignment horizontal="center" vertical="center" wrapText="1"/>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32" fillId="0" borderId="6" xfId="0" applyFont="1" applyBorder="1" applyAlignment="1">
      <alignment horizontal="left" vertical="top" wrapText="1"/>
    </xf>
    <xf numFmtId="0" fontId="32" fillId="0" borderId="12" xfId="0" applyFont="1" applyBorder="1" applyAlignment="1">
      <alignment horizontal="left" vertical="top" wrapText="1"/>
    </xf>
    <xf numFmtId="0" fontId="0" fillId="0" borderId="12" xfId="0" applyBorder="1" applyAlignment="1">
      <alignment horizontal="left" vertical="top"/>
    </xf>
    <xf numFmtId="0" fontId="27" fillId="0" borderId="8" xfId="0" applyFont="1" applyBorder="1" applyAlignment="1">
      <alignment horizontal="left" vertical="top" wrapText="1"/>
    </xf>
    <xf numFmtId="0" fontId="27" fillId="0" borderId="0" xfId="0" applyFont="1" applyAlignment="1">
      <alignment horizontal="left" vertical="top" wrapText="1"/>
    </xf>
    <xf numFmtId="0" fontId="27" fillId="0" borderId="9" xfId="0" applyFont="1" applyBorder="1" applyAlignment="1">
      <alignment horizontal="left" vertical="top" wrapText="1"/>
    </xf>
    <xf numFmtId="0" fontId="27" fillId="0" borderId="10" xfId="0" applyFont="1" applyBorder="1" applyAlignment="1">
      <alignment horizontal="left" vertical="top" wrapText="1"/>
    </xf>
    <xf numFmtId="0" fontId="27" fillId="0" borderId="22" xfId="0" applyFont="1" applyBorder="1" applyAlignment="1">
      <alignment horizontal="left" vertical="top" wrapText="1"/>
    </xf>
    <xf numFmtId="0" fontId="27" fillId="0" borderId="11" xfId="0" applyFont="1" applyBorder="1" applyAlignment="1">
      <alignment horizontal="left" vertical="top" wrapText="1"/>
    </xf>
    <xf numFmtId="0" fontId="0" fillId="4" borderId="0" xfId="0" applyFill="1"/>
    <xf numFmtId="0" fontId="35" fillId="4" borderId="0" xfId="0" applyFont="1" applyFill="1"/>
  </cellXfs>
  <cellStyles count="2">
    <cellStyle name="Lien hypertexte" xfId="1" builtinId="8"/>
    <cellStyle name="Normal" xfId="0" builtinId="0"/>
  </cellStyles>
  <dxfs count="14">
    <dxf>
      <fill>
        <patternFill>
          <bgColor theme="0" tint="-0.24994659260841701"/>
        </patternFill>
      </fill>
    </dxf>
    <dxf>
      <fill>
        <patternFill>
          <bgColor rgb="FFFFC000"/>
        </patternFill>
      </fill>
    </dxf>
    <dxf>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0000"/>
        </patternFill>
      </fill>
    </dxf>
    <dxf>
      <font>
        <color rgb="FFFF0000"/>
      </font>
    </dxf>
    <dxf>
      <font>
        <color rgb="FFFFC000"/>
      </font>
    </dxf>
    <dxf>
      <fill>
        <patternFill>
          <bgColor rgb="FF92D050"/>
        </patternFill>
      </fill>
    </dxf>
  </dxfs>
  <tableStyles count="0" defaultTableStyle="TableStyleMedium2" defaultPivotStyle="PivotStyleLight16"/>
  <colors>
    <mruColors>
      <color rgb="FFFFE699"/>
      <color rgb="FF4472C4"/>
      <color rgb="FF0066FF"/>
      <color rgb="FF9933FF"/>
      <color rgb="FFFFCC99"/>
      <color rgb="FF00CCFF"/>
      <color rgb="FF000000"/>
      <color rgb="FF2C2C2C"/>
      <color rgb="FF6D696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CheckBox" fmlaLink="$F$22" lockText="1" noThreeD="1"/>
</file>

<file path=xl/ctrlProps/ctrlProp2.xml><?xml version="1.0" encoding="utf-8"?>
<formControlPr xmlns="http://schemas.microsoft.com/office/spreadsheetml/2009/9/main" objectType="CheckBox" fmlaLink="$F$24" lockText="1" noThreeD="1"/>
</file>

<file path=xl/ctrlProps/ctrlProp3.xml><?xml version="1.0" encoding="utf-8"?>
<formControlPr xmlns="http://schemas.microsoft.com/office/spreadsheetml/2009/9/main" objectType="CheckBox" fmlaLink="$F$25" lockText="1" noThreeD="1"/>
</file>

<file path=xl/ctrlProps/ctrlProp4.xml><?xml version="1.0" encoding="utf-8"?>
<formControlPr xmlns="http://schemas.microsoft.com/office/spreadsheetml/2009/9/main" objectType="CheckBox" fmlaLink="$G22" lockText="1" noThreeD="1"/>
</file>

<file path=xl/ctrlProps/ctrlProp5.xml><?xml version="1.0" encoding="utf-8"?>
<formControlPr xmlns="http://schemas.microsoft.com/office/spreadsheetml/2009/9/main" objectType="CheckBox" fmlaLink="$G$23" lockText="1" noThreeD="1"/>
</file>

<file path=xl/ctrlProps/ctrlProp6.xml><?xml version="1.0" encoding="utf-8"?>
<formControlPr xmlns="http://schemas.microsoft.com/office/spreadsheetml/2009/9/main" objectType="CheckBox" fmlaLink="$G$24" lockText="1" noThreeD="1"/>
</file>

<file path=xl/ctrlProps/ctrlProp7.xml><?xml version="1.0" encoding="utf-8"?>
<formControlPr xmlns="http://schemas.microsoft.com/office/spreadsheetml/2009/9/main" objectType="CheckBox" fmlaLink="$G$25" lockText="1" noThreeD="1"/>
</file>

<file path=xl/ctrlProps/ctrlProp8.xml><?xml version="1.0" encoding="utf-8"?>
<formControlPr xmlns="http://schemas.microsoft.com/office/spreadsheetml/2009/9/main" objectType="CheckBox" fmlaLink="$G37" lockText="1" noThreeD="1"/>
</file>

<file path=xl/ctrlProps/ctrlProp9.xml><?xml version="1.0" encoding="utf-8"?>
<formControlPr xmlns="http://schemas.microsoft.com/office/spreadsheetml/2009/9/main" objectType="CheckBox" fmlaLink="$F37" lockText="1" noThreeD="1"/>
</file>

<file path=xl/ctrlProps/ctrlProp10.xml><?xml version="1.0" encoding="utf-8"?>
<formControlPr xmlns="http://schemas.microsoft.com/office/spreadsheetml/2009/9/main" objectType="CheckBox" fmlaLink="$F28" lockText="1" noThreeD="1"/>
</file>

<file path=xl/ctrlProps/ctrlProp11.xml><?xml version="1.0" encoding="utf-8"?>
<formControlPr xmlns="http://schemas.microsoft.com/office/spreadsheetml/2009/9/main" objectType="CheckBox" fmlaLink="$F$29" lockText="1" noThreeD="1"/>
</file>

<file path=xl/ctrlProps/ctrlProp12.xml><?xml version="1.0" encoding="utf-8"?>
<formControlPr xmlns="http://schemas.microsoft.com/office/spreadsheetml/2009/9/main" objectType="CheckBox" fmlaLink="$F$30" lockText="1" noThreeD="1"/>
</file>

<file path=xl/ctrlProps/ctrlProp13.xml><?xml version="1.0" encoding="utf-8"?>
<formControlPr xmlns="http://schemas.microsoft.com/office/spreadsheetml/2009/9/main" objectType="CheckBox" fmlaLink="$F$31" lockText="1" noThreeD="1"/>
</file>

<file path=xl/ctrlProps/ctrlProp14.xml><?xml version="1.0" encoding="utf-8"?>
<formControlPr xmlns="http://schemas.microsoft.com/office/spreadsheetml/2009/9/main" objectType="CheckBox" fmlaLink="$F32" lockText="1" noThreeD="1"/>
</file>

<file path=xl/ctrlProps/ctrlProp15.xml><?xml version="1.0" encoding="utf-8"?>
<formControlPr xmlns="http://schemas.microsoft.com/office/spreadsheetml/2009/9/main" objectType="CheckBox" fmlaLink="$F17" lockText="1" noThreeD="1"/>
</file>

<file path=xl/ctrlProps/ctrlProp16.xml><?xml version="1.0" encoding="utf-8"?>
<formControlPr xmlns="http://schemas.microsoft.com/office/spreadsheetml/2009/9/main" objectType="CheckBox" fmlaLink="$F18" lockText="1" noThreeD="1"/>
</file>

<file path=xl/ctrlProps/ctrlProp17.xml><?xml version="1.0" encoding="utf-8"?>
<formControlPr xmlns="http://schemas.microsoft.com/office/spreadsheetml/2009/9/main" objectType="CheckBox" fmlaLink="$G17" lockText="1" noThreeD="1"/>
</file>

<file path=xl/ctrlProps/ctrlProp18.xml><?xml version="1.0" encoding="utf-8"?>
<formControlPr xmlns="http://schemas.microsoft.com/office/spreadsheetml/2009/9/main" objectType="CheckBox" fmlaLink="$G18" lockText="1" noThreeD="1"/>
</file>

<file path=xl/ctrlProps/ctrlProp19.xml><?xml version="1.0" encoding="utf-8"?>
<formControlPr xmlns="http://schemas.microsoft.com/office/spreadsheetml/2009/9/main" objectType="CheckBox" fmlaLink="$F63" lockText="1" noThreeD="1"/>
</file>

<file path=xl/ctrlProps/ctrlProp20.xml><?xml version="1.0" encoding="utf-8"?>
<formControlPr xmlns="http://schemas.microsoft.com/office/spreadsheetml/2009/9/main" objectType="CheckBox" fmlaLink="$F64" lockText="1" noThreeD="1"/>
</file>

<file path=xl/ctrlProps/ctrlProp21.xml><?xml version="1.0" encoding="utf-8"?>
<formControlPr xmlns="http://schemas.microsoft.com/office/spreadsheetml/2009/9/main" objectType="CheckBox" fmlaLink="$B9" lockText="1" noThreeD="1"/>
</file>

<file path=xl/ctrlProps/ctrlProp22.xml><?xml version="1.0" encoding="utf-8"?>
<formControlPr xmlns="http://schemas.microsoft.com/office/spreadsheetml/2009/9/main" objectType="CheckBox" fmlaLink="$B10" lockText="1" noThreeD="1"/>
</file>

<file path=xl/ctrlProps/ctrlProp23.xml><?xml version="1.0" encoding="utf-8"?>
<formControlPr xmlns="http://schemas.microsoft.com/office/spreadsheetml/2009/9/main" objectType="CheckBox" fmlaLink="$F40" lockText="1" noThreeD="1"/>
</file>

<file path=xl/ctrlProps/ctrlProp24.xml><?xml version="1.0" encoding="utf-8"?>
<formControlPr xmlns="http://schemas.microsoft.com/office/spreadsheetml/2009/9/main" objectType="CheckBox" fmlaLink="$G40" lockText="1" noThreeD="1"/>
</file>

<file path=xl/ctrlProps/ctrlProp25.xml><?xml version="1.0" encoding="utf-8"?>
<formControlPr xmlns="http://schemas.microsoft.com/office/spreadsheetml/2009/9/main" objectType="CheckBox" fmlaLink="$F41" lockText="1" noThreeD="1"/>
</file>

<file path=xl/ctrlProps/ctrlProp26.xml><?xml version="1.0" encoding="utf-8"?>
<formControlPr xmlns="http://schemas.microsoft.com/office/spreadsheetml/2009/9/main" objectType="CheckBox" fmlaLink="$G41" lockText="1" noThreeD="1"/>
</file>

<file path=xl/ctrlProps/ctrlProp27.xml><?xml version="1.0" encoding="utf-8"?>
<formControlPr xmlns="http://schemas.microsoft.com/office/spreadsheetml/2009/9/main" objectType="CheckBox" fmlaLink="$F44" lockText="1" noThreeD="1"/>
</file>

<file path=xl/ctrlProps/ctrlProp28.xml><?xml version="1.0" encoding="utf-8"?>
<formControlPr xmlns="http://schemas.microsoft.com/office/spreadsheetml/2009/9/main" objectType="CheckBox" fmlaLink="$G44" lockText="1" noThreeD="1"/>
</file>

<file path=xl/ctrlProps/ctrlProp29.xml><?xml version="1.0" encoding="utf-8"?>
<formControlPr xmlns="http://schemas.microsoft.com/office/spreadsheetml/2009/9/main" objectType="CheckBox" fmlaLink="$F46" lockText="1" noThreeD="1"/>
</file>

<file path=xl/ctrlProps/ctrlProp30.xml><?xml version="1.0" encoding="utf-8"?>
<formControlPr xmlns="http://schemas.microsoft.com/office/spreadsheetml/2009/9/main" objectType="CheckBox" fmlaLink="$G46" lockText="1" noThreeD="1"/>
</file>

<file path=xl/ctrlProps/ctrlProp31.xml><?xml version="1.0" encoding="utf-8"?>
<formControlPr xmlns="http://schemas.microsoft.com/office/spreadsheetml/2009/9/main" objectType="CheckBox" fmlaLink="$H40" lockText="1" noThreeD="1"/>
</file>

<file path=xl/ctrlProps/ctrlProp32.xml><?xml version="1.0" encoding="utf-8"?>
<formControlPr xmlns="http://schemas.microsoft.com/office/spreadsheetml/2009/9/main" objectType="CheckBox" fmlaLink="$H37" lockText="1" noThreeD="1"/>
</file>

<file path=xl/ctrlProps/ctrlProp33.xml><?xml version="1.0" encoding="utf-8"?>
<formControlPr xmlns="http://schemas.microsoft.com/office/spreadsheetml/2009/9/main" objectType="CheckBox" fmlaLink="$H41" lockText="1" noThreeD="1"/>
</file>

<file path=xl/ctrlProps/ctrlProp34.xml><?xml version="1.0" encoding="utf-8"?>
<formControlPr xmlns="http://schemas.microsoft.com/office/spreadsheetml/2009/9/main" objectType="CheckBox" fmlaLink="$H44" lockText="1" noThreeD="1"/>
</file>

<file path=xl/ctrlProps/ctrlProp35.xml><?xml version="1.0" encoding="utf-8"?>
<formControlPr xmlns="http://schemas.microsoft.com/office/spreadsheetml/2009/9/main" objectType="CheckBox" fmlaLink="$H46" lockText="1" noThreeD="1"/>
</file>

<file path=xl/ctrlProps/ctrlProp36.xml><?xml version="1.0" encoding="utf-8"?>
<formControlPr xmlns="http://schemas.microsoft.com/office/spreadsheetml/2009/9/main" objectType="CheckBox" fmlaLink="$B33" lockText="1" noThreeD="1"/>
</file>

<file path=xl/ctrlProps/ctrlProp37.xml><?xml version="1.0" encoding="utf-8"?>
<formControlPr xmlns="http://schemas.microsoft.com/office/spreadsheetml/2009/9/main" objectType="CheckBox" fmlaLink="$C33" lockText="1" noThreeD="1"/>
</file>

<file path=xl/ctrlProps/ctrlProp38.xml><?xml version="1.0" encoding="utf-8"?>
<formControlPr xmlns="http://schemas.microsoft.com/office/spreadsheetml/2009/9/main" objectType="CheckBox" fmlaLink="$B34" lockText="1" noThreeD="1"/>
</file>

<file path=xl/ctrlProps/ctrlProp39.xml><?xml version="1.0" encoding="utf-8"?>
<formControlPr xmlns="http://schemas.microsoft.com/office/spreadsheetml/2009/9/main" objectType="CheckBox" fmlaLink="$C34" lockText="1" noThreeD="1"/>
</file>

<file path=xl/ctrlProps/ctrlProp40.xml><?xml version="1.0" encoding="utf-8"?>
<formControlPr xmlns="http://schemas.microsoft.com/office/spreadsheetml/2009/9/main" objectType="CheckBox" fmlaLink="$B36" lockText="1" noThreeD="1"/>
</file>

<file path=xl/ctrlProps/ctrlProp41.xml><?xml version="1.0" encoding="utf-8"?>
<formControlPr xmlns="http://schemas.microsoft.com/office/spreadsheetml/2009/9/main" objectType="CheckBox" fmlaLink="$C36" lockText="1" noThreeD="1"/>
</file>

<file path=xl/ctrlProps/ctrlProp42.xml><?xml version="1.0" encoding="utf-8"?>
<formControlPr xmlns="http://schemas.microsoft.com/office/spreadsheetml/2009/9/main" objectType="CheckBox" fmlaLink="$B37" lockText="1" noThreeD="1"/>
</file>

<file path=xl/ctrlProps/ctrlProp43.xml><?xml version="1.0" encoding="utf-8"?>
<formControlPr xmlns="http://schemas.microsoft.com/office/spreadsheetml/2009/9/main" objectType="CheckBox" fmlaLink="$C37" lockText="1" noThreeD="1"/>
</file>

<file path=xl/ctrlProps/ctrlProp44.xml><?xml version="1.0" encoding="utf-8"?>
<formControlPr xmlns="http://schemas.microsoft.com/office/spreadsheetml/2009/9/main" objectType="CheckBox" fmlaLink="$B38" lockText="1" noThreeD="1"/>
</file>

<file path=xl/ctrlProps/ctrlProp45.xml><?xml version="1.0" encoding="utf-8"?>
<formControlPr xmlns="http://schemas.microsoft.com/office/spreadsheetml/2009/9/main" objectType="CheckBox" fmlaLink="$C38" lockText="1" noThreeD="1"/>
</file>

<file path=xl/ctrlProps/ctrlProp46.xml><?xml version="1.0" encoding="utf-8"?>
<formControlPr xmlns="http://schemas.microsoft.com/office/spreadsheetml/2009/9/main" objectType="CheckBox" fmlaLink="$B39" lockText="1" noThreeD="1"/>
</file>

<file path=xl/ctrlProps/ctrlProp47.xml><?xml version="1.0" encoding="utf-8"?>
<formControlPr xmlns="http://schemas.microsoft.com/office/spreadsheetml/2009/9/main" objectType="CheckBox" fmlaLink="$C39" lockText="1" noThreeD="1"/>
</file>

<file path=xl/ctrlProps/ctrlProp48.xml><?xml version="1.0" encoding="utf-8"?>
<formControlPr xmlns="http://schemas.microsoft.com/office/spreadsheetml/2009/9/main" objectType="CheckBox" fmlaLink="$B$41" lockText="1" noThreeD="1"/>
</file>

<file path=xl/ctrlProps/ctrlProp49.xml><?xml version="1.0" encoding="utf-8"?>
<formControlPr xmlns="http://schemas.microsoft.com/office/spreadsheetml/2009/9/main" objectType="CheckBox" fmlaLink="$C41" lockText="1" noThreeD="1"/>
</file>

<file path=xl/ctrlProps/ctrlProp50.xml><?xml version="1.0" encoding="utf-8"?>
<formControlPr xmlns="http://schemas.microsoft.com/office/spreadsheetml/2009/9/main" objectType="CheckBox" fmlaLink="$F$33" lockText="1" noThreeD="1"/>
</file>

<file path=xl/ctrlProps/ctrlProp51.xml><?xml version="1.0" encoding="utf-8"?>
<formControlPr xmlns="http://schemas.microsoft.com/office/spreadsheetml/2009/9/main" objectType="CheckBox" fmlaLink="$D40" lockText="1" noThreeD="1"/>
</file>

<file path=xl/ctrlProps/ctrlProp52.xml><?xml version="1.0" encoding="utf-8"?>
<formControlPr xmlns="http://schemas.microsoft.com/office/spreadsheetml/2009/9/main" objectType="CheckBox" fmlaLink="$D41" lockText="1" noThreeD="1"/>
</file>

<file path=xl/ctrlProps/ctrlProp53.xml><?xml version="1.0" encoding="utf-8"?>
<formControlPr xmlns="http://schemas.microsoft.com/office/spreadsheetml/2009/9/main" objectType="CheckBox" fmlaLink="$B40" lockText="1" noThreeD="1"/>
</file>

<file path=xl/ctrlProps/ctrlProp54.xml><?xml version="1.0" encoding="utf-8"?>
<formControlPr xmlns="http://schemas.microsoft.com/office/spreadsheetml/2009/9/main" objectType="CheckBox" fmlaLink="$C40" lockText="1" noThreeD="1"/>
</file>

<file path=xl/ctrlProps/ctrlProp55.xml><?xml version="1.0" encoding="utf-8"?>
<formControlPr xmlns="http://schemas.microsoft.com/office/spreadsheetml/2009/9/main" objectType="CheckBox" fmlaLink="$D43" lockText="1" noThreeD="1"/>
</file>

<file path=xl/ctrlProps/ctrlProp56.xml><?xml version="1.0" encoding="utf-8"?>
<formControlPr xmlns="http://schemas.microsoft.com/office/spreadsheetml/2009/9/main" objectType="CheckBox" fmlaLink="$D44" lockText="1" noThreeD="1"/>
</file>

<file path=xl/ctrlProps/ctrlProp57.xml><?xml version="1.0" encoding="utf-8"?>
<formControlPr xmlns="http://schemas.microsoft.com/office/spreadsheetml/2009/9/main" objectType="CheckBox" fmlaLink="$D42" lockText="1" noThreeD="1"/>
</file>

<file path=xl/ctrlProps/ctrlProp58.xml><?xml version="1.0" encoding="utf-8"?>
<formControlPr xmlns="http://schemas.microsoft.com/office/spreadsheetml/2009/9/main" objectType="CheckBox" fmlaLink="$F22" lockText="1" noThreeD="1"/>
</file>

<file path=xl/ctrlProps/ctrlProp59.xml><?xml version="1.0" encoding="utf-8"?>
<formControlPr xmlns="http://schemas.microsoft.com/office/spreadsheetml/2009/9/main" objectType="CheckBox" fmlaLink="$F$22" lockText="1" noThreeD="1"/>
</file>

<file path=xl/ctrlProps/ctrlProp60.xml><?xml version="1.0" encoding="utf-8"?>
<formControlPr xmlns="http://schemas.microsoft.com/office/spreadsheetml/2009/9/main" objectType="CheckBox" fmlaLink="$F23" lockText="1" noThreeD="1"/>
</file>

<file path=xl/ctrlProps/ctrlProp61.xml><?xml version="1.0" encoding="utf-8"?>
<formControlPr xmlns="http://schemas.microsoft.com/office/spreadsheetml/2009/9/main" objectType="CheckBox" fmlaLink="$G23" lockText="1" noThreeD="1"/>
</file>

<file path=xl/ctrlProps/ctrlProp62.xml><?xml version="1.0" encoding="utf-8"?>
<formControlPr xmlns="http://schemas.microsoft.com/office/spreadsheetml/2009/9/main" objectType="CheckBox" fmlaLink="$G24" lockText="1" noThreeD="1"/>
</file>

<file path=xl/ctrlProps/ctrlProp63.xml><?xml version="1.0" encoding="utf-8"?>
<formControlPr xmlns="http://schemas.microsoft.com/office/spreadsheetml/2009/9/main" objectType="CheckBox" fmlaLink="$G25"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fmlaLink="$H40" lockText="1" noThreeD="1"/>
</file>

<file path=xl/ctrlProps/ctrlProp79.xml><?xml version="1.0" encoding="utf-8"?>
<formControlPr xmlns="http://schemas.microsoft.com/office/spreadsheetml/2009/9/main" objectType="CheckBox" fmlaLink="$H41" lockText="1" noThreeD="1"/>
</file>

<file path=xl/ctrlProps/ctrlProp80.xml><?xml version="1.0" encoding="utf-8"?>
<formControlPr xmlns="http://schemas.microsoft.com/office/spreadsheetml/2009/9/main" objectType="CheckBox" fmlaLink="$H20" lockText="1" noThreeD="1"/>
</file>

<file path=xl/ctrlProps/ctrlProp81.xml><?xml version="1.0" encoding="utf-8"?>
<formControlPr xmlns="http://schemas.microsoft.com/office/spreadsheetml/2009/9/main" objectType="CheckBox" fmlaLink="$J20" lockText="1" noThreeD="1"/>
</file>

<file path=xl/ctrlProps/ctrlProp82.xml><?xml version="1.0" encoding="utf-8"?>
<formControlPr xmlns="http://schemas.microsoft.com/office/spreadsheetml/2009/9/main" objectType="CheckBox" fmlaLink="$K20" lockText="1" noThreeD="1"/>
</file>

<file path=xl/ctrlProps/ctrlProp83.xml><?xml version="1.0" encoding="utf-8"?>
<formControlPr xmlns="http://schemas.microsoft.com/office/spreadsheetml/2009/9/main" objectType="CheckBox" fmlaLink="$I20"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2.jpg"/></Relationships>
</file>

<file path=xl/drawings/_rels/drawing7.xml.rels><?xml version="1.0" encoding="UTF-8" standalone="yes"?>
<Relationships xmlns="http://schemas.openxmlformats.org/package/2006/relationships"><Relationship Id="rId1" Type="http://schemas.openxmlformats.org/officeDocument/2006/relationships/image" Target="../media/image5.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0</xdr:col>
      <xdr:colOff>0</xdr:colOff>
      <xdr:row>6</xdr:row>
      <xdr:rowOff>177795</xdr:rowOff>
    </xdr:from>
    <xdr:to>
      <xdr:col>6</xdr:col>
      <xdr:colOff>736600</xdr:colOff>
      <xdr:row>43</xdr:row>
      <xdr:rowOff>143505</xdr:rowOff>
    </xdr:to>
    <xdr:pic>
      <xdr:nvPicPr>
        <xdr:cNvPr id="2" name="WordPictureWatermark204468830">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lum bright="70000" contrast="-70000"/>
          <a:extLst>
            <a:ext uri="{28A0092B-C50C-407E-A947-70E740481C1C}">
              <a14:useLocalDpi xmlns:a14="http://schemas.microsoft.com/office/drawing/2010/main" val="0"/>
            </a:ext>
          </a:extLst>
        </a:blip>
        <a:srcRect/>
        <a:stretch>
          <a:fillRect/>
        </a:stretch>
      </xdr:blipFill>
      <xdr:spPr bwMode="auto">
        <a:xfrm>
          <a:off x="0" y="1273170"/>
          <a:ext cx="5308600" cy="672052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295275</xdr:colOff>
      <xdr:row>1</xdr:row>
      <xdr:rowOff>171450</xdr:rowOff>
    </xdr:from>
    <xdr:to>
      <xdr:col>3</xdr:col>
      <xdr:colOff>342900</xdr:colOff>
      <xdr:row>6</xdr:row>
      <xdr:rowOff>104775</xdr:rowOff>
    </xdr:to>
    <xdr:pic>
      <xdr:nvPicPr>
        <xdr:cNvPr id="3" name="Image 2">
          <a:extLst>
            <a:ext uri="{FF2B5EF4-FFF2-40B4-BE49-F238E27FC236}">
              <a16:creationId xmlns:a16="http://schemas.microsoft.com/office/drawing/2014/main" id="{00000000-0008-0000-0000-000003000000}"/>
            </a:ext>
          </a:extLst>
        </xdr:cNvPr>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 y="352425"/>
          <a:ext cx="2419350" cy="838200"/>
        </a:xfrm>
        <a:prstGeom prst="rect">
          <a:avLst/>
        </a:prstGeom>
      </xdr:spPr>
    </xdr:pic>
    <xdr:clientData/>
  </xdr:twoCellAnchor>
  <xdr:twoCellAnchor>
    <xdr:from>
      <xdr:col>0</xdr:col>
      <xdr:colOff>342900</xdr:colOff>
      <xdr:row>15</xdr:row>
      <xdr:rowOff>160338</xdr:rowOff>
    </xdr:from>
    <xdr:to>
      <xdr:col>6</xdr:col>
      <xdr:colOff>787400</xdr:colOff>
      <xdr:row>27</xdr:row>
      <xdr:rowOff>155575</xdr:rowOff>
    </xdr:to>
    <xdr:sp macro="" textlink="">
      <xdr:nvSpPr>
        <xdr:cNvPr id="6" name="ZoneTexte 5">
          <a:extLst>
            <a:ext uri="{FF2B5EF4-FFF2-40B4-BE49-F238E27FC236}">
              <a16:creationId xmlns:a16="http://schemas.microsoft.com/office/drawing/2014/main" id="{00000000-0008-0000-0000-000006000000}"/>
            </a:ext>
          </a:extLst>
        </xdr:cNvPr>
        <xdr:cNvSpPr txBox="1"/>
      </xdr:nvSpPr>
      <xdr:spPr>
        <a:xfrm>
          <a:off x="342900" y="2922588"/>
          <a:ext cx="5207000" cy="22050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4800" b="1"/>
            <a:t>PLAN</a:t>
          </a:r>
          <a:r>
            <a:rPr lang="fr-FR" sz="4800" b="1" baseline="0"/>
            <a:t> ET RAPPORT D'AUDIT</a:t>
          </a:r>
          <a:endParaRPr lang="fr-FR" sz="4800" b="1"/>
        </a:p>
      </xdr:txBody>
    </xdr:sp>
    <xdr:clientData/>
  </xdr:twoCellAnchor>
  <xdr:oneCellAnchor>
    <xdr:from>
      <xdr:col>0</xdr:col>
      <xdr:colOff>119063</xdr:colOff>
      <xdr:row>28</xdr:row>
      <xdr:rowOff>14288</xdr:rowOff>
    </xdr:from>
    <xdr:ext cx="184731" cy="264560"/>
    <xdr:sp macro="" textlink="">
      <xdr:nvSpPr>
        <xdr:cNvPr id="9" name="ZoneTexte 8">
          <a:extLst>
            <a:ext uri="{FF2B5EF4-FFF2-40B4-BE49-F238E27FC236}">
              <a16:creationId xmlns:a16="http://schemas.microsoft.com/office/drawing/2014/main" id="{00000000-0008-0000-0000-000009000000}"/>
            </a:ext>
          </a:extLst>
        </xdr:cNvPr>
        <xdr:cNvSpPr txBox="1"/>
      </xdr:nvSpPr>
      <xdr:spPr>
        <a:xfrm>
          <a:off x="119063" y="5081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fr-FR" sz="1100"/>
        </a:p>
      </xdr:txBody>
    </xdr:sp>
    <xdr:clientData/>
  </xdr:oneCellAnchor>
  <xdr:twoCellAnchor>
    <xdr:from>
      <xdr:col>0</xdr:col>
      <xdr:colOff>271463</xdr:colOff>
      <xdr:row>28</xdr:row>
      <xdr:rowOff>28575</xdr:rowOff>
    </xdr:from>
    <xdr:to>
      <xdr:col>6</xdr:col>
      <xdr:colOff>628650</xdr:colOff>
      <xdr:row>34</xdr:row>
      <xdr:rowOff>152400</xdr:rowOff>
    </xdr:to>
    <xdr:sp macro="" textlink="OPAC!B12:C12">
      <xdr:nvSpPr>
        <xdr:cNvPr id="11" name="ZoneTexte 10">
          <a:extLst>
            <a:ext uri="{FF2B5EF4-FFF2-40B4-BE49-F238E27FC236}">
              <a16:creationId xmlns:a16="http://schemas.microsoft.com/office/drawing/2014/main" id="{00000000-0008-0000-0000-00000B000000}"/>
            </a:ext>
          </a:extLst>
        </xdr:cNvPr>
        <xdr:cNvSpPr txBox="1"/>
      </xdr:nvSpPr>
      <xdr:spPr>
        <a:xfrm>
          <a:off x="271463" y="5184775"/>
          <a:ext cx="5119687" cy="122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2524C8C-3A8C-4246-875E-33DF6B20B642}" type="TxLink">
            <a:rPr lang="en-US" sz="4000" b="1" i="0" u="none" strike="noStrike">
              <a:solidFill>
                <a:sysClr val="windowText" lastClr="000000"/>
              </a:solidFill>
              <a:latin typeface="Calibri"/>
              <a:cs typeface="Calibri"/>
            </a:rPr>
            <a:pPr algn="ctr"/>
            <a:t> </a:t>
          </a:fld>
          <a:endParaRPr lang="fr-FR" sz="4000">
            <a:solidFill>
              <a:sysClr val="windowText" lastClr="000000"/>
            </a:solidFill>
          </a:endParaRPr>
        </a:p>
      </xdr:txBody>
    </xdr:sp>
    <xdr:clientData/>
  </xdr:twoCellAnchor>
  <xdr:twoCellAnchor editAs="oneCell">
    <xdr:from>
      <xdr:col>4</xdr:col>
      <xdr:colOff>104776</xdr:colOff>
      <xdr:row>0</xdr:row>
      <xdr:rowOff>128588</xdr:rowOff>
    </xdr:from>
    <xdr:to>
      <xdr:col>7</xdr:col>
      <xdr:colOff>204789</xdr:colOff>
      <xdr:row>7</xdr:row>
      <xdr:rowOff>164821</xdr:rowOff>
    </xdr:to>
    <xdr:pic>
      <xdr:nvPicPr>
        <xdr:cNvPr id="12" name="Imag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3267076" y="128588"/>
          <a:ext cx="2471738" cy="130305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1706473</xdr:colOff>
      <xdr:row>0</xdr:row>
      <xdr:rowOff>43001</xdr:rowOff>
    </xdr:from>
    <xdr:to>
      <xdr:col>4</xdr:col>
      <xdr:colOff>4561484</xdr:colOff>
      <xdr:row>4</xdr:row>
      <xdr:rowOff>38101</xdr:rowOff>
    </xdr:to>
    <xdr:pic>
      <xdr:nvPicPr>
        <xdr:cNvPr id="5" name="Imag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052153" y="43001"/>
          <a:ext cx="2855011" cy="8942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457200</xdr:colOff>
          <xdr:row>20</xdr:row>
          <xdr:rowOff>177800</xdr:rowOff>
        </xdr:from>
        <xdr:to>
          <xdr:col>5</xdr:col>
          <xdr:colOff>673100</xdr:colOff>
          <xdr:row>22</xdr:row>
          <xdr:rowOff>25400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241300</xdr:rowOff>
        </xdr:from>
        <xdr:to>
          <xdr:col>5</xdr:col>
          <xdr:colOff>673100</xdr:colOff>
          <xdr:row>24</xdr:row>
          <xdr:rowOff>25400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24</xdr:row>
          <xdr:rowOff>12700</xdr:rowOff>
        </xdr:from>
        <xdr:to>
          <xdr:col>5</xdr:col>
          <xdr:colOff>774700</xdr:colOff>
          <xdr:row>25</xdr:row>
          <xdr:rowOff>12700</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20</xdr:row>
          <xdr:rowOff>165100</xdr:rowOff>
        </xdr:from>
        <xdr:to>
          <xdr:col>6</xdr:col>
          <xdr:colOff>774700</xdr:colOff>
          <xdr:row>22</xdr:row>
          <xdr:rowOff>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165100</xdr:rowOff>
        </xdr:from>
        <xdr:to>
          <xdr:col>6</xdr:col>
          <xdr:colOff>774700</xdr:colOff>
          <xdr:row>23</xdr:row>
          <xdr:rowOff>12700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241300</xdr:rowOff>
        </xdr:from>
        <xdr:to>
          <xdr:col>6</xdr:col>
          <xdr:colOff>774700</xdr:colOff>
          <xdr:row>24</xdr:row>
          <xdr:rowOff>25400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762000</xdr:colOff>
          <xdr:row>24</xdr:row>
          <xdr:rowOff>215900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1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36</xdr:row>
          <xdr:rowOff>12700</xdr:rowOff>
        </xdr:from>
        <xdr:to>
          <xdr:col>6</xdr:col>
          <xdr:colOff>774700</xdr:colOff>
          <xdr:row>36</xdr:row>
          <xdr:rowOff>215900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1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36</xdr:row>
          <xdr:rowOff>12700</xdr:rowOff>
        </xdr:from>
        <xdr:to>
          <xdr:col>5</xdr:col>
          <xdr:colOff>711200</xdr:colOff>
          <xdr:row>37</xdr:row>
          <xdr:rowOff>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1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26</xdr:row>
          <xdr:rowOff>215900</xdr:rowOff>
        </xdr:from>
        <xdr:to>
          <xdr:col>6</xdr:col>
          <xdr:colOff>266700</xdr:colOff>
          <xdr:row>27</xdr:row>
          <xdr:rowOff>190500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28</xdr:row>
          <xdr:rowOff>0</xdr:rowOff>
        </xdr:from>
        <xdr:to>
          <xdr:col>6</xdr:col>
          <xdr:colOff>304800</xdr:colOff>
          <xdr:row>28</xdr:row>
          <xdr:rowOff>203200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29</xdr:row>
          <xdr:rowOff>12700</xdr:rowOff>
        </xdr:from>
        <xdr:to>
          <xdr:col>6</xdr:col>
          <xdr:colOff>266700</xdr:colOff>
          <xdr:row>29</xdr:row>
          <xdr:rowOff>215900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12700</xdr:rowOff>
        </xdr:from>
        <xdr:to>
          <xdr:col>6</xdr:col>
          <xdr:colOff>266700</xdr:colOff>
          <xdr:row>30</xdr:row>
          <xdr:rowOff>215900</xdr:rowOff>
        </xdr:to>
        <xdr:sp macro="" textlink="">
          <xdr:nvSpPr>
            <xdr:cNvPr id="1078" name="Check Box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30</xdr:row>
          <xdr:rowOff>203200</xdr:rowOff>
        </xdr:from>
        <xdr:to>
          <xdr:col>6</xdr:col>
          <xdr:colOff>266700</xdr:colOff>
          <xdr:row>32</xdr:row>
          <xdr:rowOff>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15</xdr:row>
          <xdr:rowOff>165100</xdr:rowOff>
        </xdr:from>
        <xdr:to>
          <xdr:col>5</xdr:col>
          <xdr:colOff>736600</xdr:colOff>
          <xdr:row>17</xdr:row>
          <xdr:rowOff>12700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431800</xdr:colOff>
          <xdr:row>16</xdr:row>
          <xdr:rowOff>165100</xdr:rowOff>
        </xdr:from>
        <xdr:to>
          <xdr:col>5</xdr:col>
          <xdr:colOff>647700</xdr:colOff>
          <xdr:row>18</xdr:row>
          <xdr:rowOff>50800</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15</xdr:row>
          <xdr:rowOff>152400</xdr:rowOff>
        </xdr:from>
        <xdr:to>
          <xdr:col>6</xdr:col>
          <xdr:colOff>762000</xdr:colOff>
          <xdr:row>17</xdr:row>
          <xdr:rowOff>25400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16</xdr:row>
          <xdr:rowOff>165100</xdr:rowOff>
        </xdr:from>
        <xdr:to>
          <xdr:col>6</xdr:col>
          <xdr:colOff>774700</xdr:colOff>
          <xdr:row>18</xdr:row>
          <xdr:rowOff>25400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61</xdr:row>
          <xdr:rowOff>165100</xdr:rowOff>
        </xdr:from>
        <xdr:to>
          <xdr:col>5</xdr:col>
          <xdr:colOff>762000</xdr:colOff>
          <xdr:row>63</xdr:row>
          <xdr:rowOff>12700</xdr:rowOff>
        </xdr:to>
        <xdr:sp macro="" textlink="">
          <xdr:nvSpPr>
            <xdr:cNvPr id="1086" name="Check Box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508000</xdr:colOff>
          <xdr:row>62</xdr:row>
          <xdr:rowOff>165100</xdr:rowOff>
        </xdr:from>
        <xdr:to>
          <xdr:col>5</xdr:col>
          <xdr:colOff>774700</xdr:colOff>
          <xdr:row>64</xdr:row>
          <xdr:rowOff>25400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25400</xdr:colOff>
          <xdr:row>7</xdr:row>
          <xdr:rowOff>165100</xdr:rowOff>
        </xdr:from>
        <xdr:to>
          <xdr:col>2</xdr:col>
          <xdr:colOff>317500</xdr:colOff>
          <xdr:row>9</xdr:row>
          <xdr:rowOff>12700</xdr:rowOff>
        </xdr:to>
        <xdr:sp macro="" textlink="">
          <xdr:nvSpPr>
            <xdr:cNvPr id="1090" name="Check Box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8</xdr:row>
          <xdr:rowOff>139700</xdr:rowOff>
        </xdr:from>
        <xdr:to>
          <xdr:col>2</xdr:col>
          <xdr:colOff>355600</xdr:colOff>
          <xdr:row>10</xdr:row>
          <xdr:rowOff>25400</xdr:rowOff>
        </xdr:to>
        <xdr:sp macro="" textlink="">
          <xdr:nvSpPr>
            <xdr:cNvPr id="1091" name="Check Box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39</xdr:row>
          <xdr:rowOff>88900</xdr:rowOff>
        </xdr:from>
        <xdr:to>
          <xdr:col>5</xdr:col>
          <xdr:colOff>736600</xdr:colOff>
          <xdr:row>39</xdr:row>
          <xdr:rowOff>279400</xdr:rowOff>
        </xdr:to>
        <xdr:sp macro="" textlink="">
          <xdr:nvSpPr>
            <xdr:cNvPr id="1102" name="Check Box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39</xdr:row>
          <xdr:rowOff>76200</xdr:rowOff>
        </xdr:from>
        <xdr:to>
          <xdr:col>6</xdr:col>
          <xdr:colOff>825500</xdr:colOff>
          <xdr:row>39</xdr:row>
          <xdr:rowOff>279400</xdr:rowOff>
        </xdr:to>
        <xdr:sp macro="" textlink="">
          <xdr:nvSpPr>
            <xdr:cNvPr id="1103" name="Check Box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40</xdr:row>
          <xdr:rowOff>76200</xdr:rowOff>
        </xdr:from>
        <xdr:to>
          <xdr:col>6</xdr:col>
          <xdr:colOff>330200</xdr:colOff>
          <xdr:row>40</xdr:row>
          <xdr:rowOff>292100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546100</xdr:colOff>
          <xdr:row>40</xdr:row>
          <xdr:rowOff>88900</xdr:rowOff>
        </xdr:from>
        <xdr:to>
          <xdr:col>7</xdr:col>
          <xdr:colOff>279400</xdr:colOff>
          <xdr:row>40</xdr:row>
          <xdr:rowOff>279400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43</xdr:row>
          <xdr:rowOff>76200</xdr:rowOff>
        </xdr:from>
        <xdr:to>
          <xdr:col>5</xdr:col>
          <xdr:colOff>762000</xdr:colOff>
          <xdr:row>44</xdr:row>
          <xdr:rowOff>114300</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43</xdr:row>
          <xdr:rowOff>101600</xdr:rowOff>
        </xdr:from>
        <xdr:to>
          <xdr:col>6</xdr:col>
          <xdr:colOff>863600</xdr:colOff>
          <xdr:row>44</xdr:row>
          <xdr:rowOff>101600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482600</xdr:colOff>
          <xdr:row>45</xdr:row>
          <xdr:rowOff>76200</xdr:rowOff>
        </xdr:from>
        <xdr:to>
          <xdr:col>6</xdr:col>
          <xdr:colOff>355600</xdr:colOff>
          <xdr:row>46</xdr:row>
          <xdr:rowOff>88900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571500</xdr:colOff>
          <xdr:row>45</xdr:row>
          <xdr:rowOff>101600</xdr:rowOff>
        </xdr:from>
        <xdr:to>
          <xdr:col>6</xdr:col>
          <xdr:colOff>850900</xdr:colOff>
          <xdr:row>46</xdr:row>
          <xdr:rowOff>63500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39</xdr:row>
          <xdr:rowOff>76200</xdr:rowOff>
        </xdr:from>
        <xdr:to>
          <xdr:col>7</xdr:col>
          <xdr:colOff>850900</xdr:colOff>
          <xdr:row>39</xdr:row>
          <xdr:rowOff>279400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36</xdr:row>
          <xdr:rowOff>12700</xdr:rowOff>
        </xdr:from>
        <xdr:to>
          <xdr:col>7</xdr:col>
          <xdr:colOff>762000</xdr:colOff>
          <xdr:row>36</xdr:row>
          <xdr:rowOff>215900</xdr:rowOff>
        </xdr:to>
        <xdr:sp macro="" textlink="">
          <xdr:nvSpPr>
            <xdr:cNvPr id="1119" name="Check Box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558800</xdr:colOff>
          <xdr:row>40</xdr:row>
          <xdr:rowOff>63500</xdr:rowOff>
        </xdr:from>
        <xdr:to>
          <xdr:col>7</xdr:col>
          <xdr:colOff>850900</xdr:colOff>
          <xdr:row>40</xdr:row>
          <xdr:rowOff>266700</xdr:rowOff>
        </xdr:to>
        <xdr:sp macro="" textlink="">
          <xdr:nvSpPr>
            <xdr:cNvPr id="1120" name="Check Box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43</xdr:row>
          <xdr:rowOff>76200</xdr:rowOff>
        </xdr:from>
        <xdr:to>
          <xdr:col>7</xdr:col>
          <xdr:colOff>825500</xdr:colOff>
          <xdr:row>44</xdr:row>
          <xdr:rowOff>88900</xdr:rowOff>
        </xdr:to>
        <xdr:sp macro="" textlink="">
          <xdr:nvSpPr>
            <xdr:cNvPr id="1121" name="Check Box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546100</xdr:colOff>
          <xdr:row>45</xdr:row>
          <xdr:rowOff>76200</xdr:rowOff>
        </xdr:from>
        <xdr:to>
          <xdr:col>7</xdr:col>
          <xdr:colOff>825500</xdr:colOff>
          <xdr:row>46</xdr:row>
          <xdr:rowOff>76200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31</xdr:row>
          <xdr:rowOff>215900</xdr:rowOff>
        </xdr:from>
        <xdr:to>
          <xdr:col>1</xdr:col>
          <xdr:colOff>711200</xdr:colOff>
          <xdr:row>32</xdr:row>
          <xdr:rowOff>215900</xdr:rowOff>
        </xdr:to>
        <xdr:sp macro="" textlink="">
          <xdr:nvSpPr>
            <xdr:cNvPr id="1127" name="Check Box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596900</xdr:colOff>
          <xdr:row>32</xdr:row>
          <xdr:rowOff>12700</xdr:rowOff>
        </xdr:from>
        <xdr:to>
          <xdr:col>2</xdr:col>
          <xdr:colOff>850900</xdr:colOff>
          <xdr:row>33</xdr:row>
          <xdr:rowOff>12700</xdr:rowOff>
        </xdr:to>
        <xdr:sp macro="" textlink="">
          <xdr:nvSpPr>
            <xdr:cNvPr id="1128" name="Check Box 104" descr="&#10;"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33</xdr:row>
          <xdr:rowOff>165100</xdr:rowOff>
        </xdr:from>
        <xdr:to>
          <xdr:col>1</xdr:col>
          <xdr:colOff>711200</xdr:colOff>
          <xdr:row>34</xdr:row>
          <xdr:rowOff>152400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33</xdr:row>
          <xdr:rowOff>165100</xdr:rowOff>
        </xdr:from>
        <xdr:to>
          <xdr:col>2</xdr:col>
          <xdr:colOff>787400</xdr:colOff>
          <xdr:row>34</xdr:row>
          <xdr:rowOff>139700</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35</xdr:row>
          <xdr:rowOff>63500</xdr:rowOff>
        </xdr:from>
        <xdr:to>
          <xdr:col>1</xdr:col>
          <xdr:colOff>723900</xdr:colOff>
          <xdr:row>35</xdr:row>
          <xdr:rowOff>279400</xdr:rowOff>
        </xdr:to>
        <xdr:sp macro="" textlink="">
          <xdr:nvSpPr>
            <xdr:cNvPr id="1131" name="Check Box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35</xdr:row>
          <xdr:rowOff>88900</xdr:rowOff>
        </xdr:from>
        <xdr:to>
          <xdr:col>2</xdr:col>
          <xdr:colOff>787400</xdr:colOff>
          <xdr:row>35</xdr:row>
          <xdr:rowOff>279400</xdr:rowOff>
        </xdr:to>
        <xdr:sp macro="" textlink="">
          <xdr:nvSpPr>
            <xdr:cNvPr id="1132" name="Check Box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36</xdr:row>
          <xdr:rowOff>12700</xdr:rowOff>
        </xdr:from>
        <xdr:to>
          <xdr:col>1</xdr:col>
          <xdr:colOff>723900</xdr:colOff>
          <xdr:row>36</xdr:row>
          <xdr:rowOff>215900</xdr:rowOff>
        </xdr:to>
        <xdr:sp macro="" textlink="">
          <xdr:nvSpPr>
            <xdr:cNvPr id="1133" name="Check Box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12700</xdr:rowOff>
        </xdr:from>
        <xdr:to>
          <xdr:col>2</xdr:col>
          <xdr:colOff>787400</xdr:colOff>
          <xdr:row>36</xdr:row>
          <xdr:rowOff>215900</xdr:rowOff>
        </xdr:to>
        <xdr:sp macro="" textlink="">
          <xdr:nvSpPr>
            <xdr:cNvPr id="1134" name="Check Box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37</xdr:row>
          <xdr:rowOff>25400</xdr:rowOff>
        </xdr:from>
        <xdr:to>
          <xdr:col>1</xdr:col>
          <xdr:colOff>774700</xdr:colOff>
          <xdr:row>38</xdr:row>
          <xdr:rowOff>12700</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36</xdr:row>
          <xdr:rowOff>215900</xdr:rowOff>
        </xdr:from>
        <xdr:to>
          <xdr:col>2</xdr:col>
          <xdr:colOff>787400</xdr:colOff>
          <xdr:row>38</xdr:row>
          <xdr:rowOff>12700</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38</xdr:row>
          <xdr:rowOff>88900</xdr:rowOff>
        </xdr:from>
        <xdr:to>
          <xdr:col>1</xdr:col>
          <xdr:colOff>723900</xdr:colOff>
          <xdr:row>38</xdr:row>
          <xdr:rowOff>304800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38</xdr:row>
          <xdr:rowOff>114300</xdr:rowOff>
        </xdr:from>
        <xdr:to>
          <xdr:col>2</xdr:col>
          <xdr:colOff>787400</xdr:colOff>
          <xdr:row>38</xdr:row>
          <xdr:rowOff>317500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100-00007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40</xdr:row>
          <xdr:rowOff>88900</xdr:rowOff>
        </xdr:from>
        <xdr:to>
          <xdr:col>1</xdr:col>
          <xdr:colOff>711200</xdr:colOff>
          <xdr:row>40</xdr:row>
          <xdr:rowOff>292100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100-00007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40</xdr:row>
          <xdr:rowOff>88900</xdr:rowOff>
        </xdr:from>
        <xdr:to>
          <xdr:col>2</xdr:col>
          <xdr:colOff>787400</xdr:colOff>
          <xdr:row>40</xdr:row>
          <xdr:rowOff>279400</xdr:rowOff>
        </xdr:to>
        <xdr:sp macro="" textlink="">
          <xdr:nvSpPr>
            <xdr:cNvPr id="1142" name="Check Box 118" hidden="1">
              <a:extLst>
                <a:ext uri="{63B3BB69-23CF-44E3-9099-C40C66FF867C}">
                  <a14:compatExt spid="_x0000_s1142"/>
                </a:ext>
                <a:ext uri="{FF2B5EF4-FFF2-40B4-BE49-F238E27FC236}">
                  <a16:creationId xmlns:a16="http://schemas.microsoft.com/office/drawing/2014/main" id="{00000000-0008-0000-0100-00007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38100</xdr:colOff>
          <xdr:row>31</xdr:row>
          <xdr:rowOff>203200</xdr:rowOff>
        </xdr:from>
        <xdr:to>
          <xdr:col>6</xdr:col>
          <xdr:colOff>266700</xdr:colOff>
          <xdr:row>33</xdr:row>
          <xdr:rowOff>0</xdr:rowOff>
        </xdr:to>
        <xdr:sp macro="" textlink="">
          <xdr:nvSpPr>
            <xdr:cNvPr id="1144" name="Check Box 120" hidden="1">
              <a:extLst>
                <a:ext uri="{63B3BB69-23CF-44E3-9099-C40C66FF867C}">
                  <a14:compatExt spid="_x0000_s1144"/>
                </a:ext>
                <a:ext uri="{FF2B5EF4-FFF2-40B4-BE49-F238E27FC236}">
                  <a16:creationId xmlns:a16="http://schemas.microsoft.com/office/drawing/2014/main" id="{00000000-0008-0000-0100-00007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4559300</xdr:colOff>
          <xdr:row>41</xdr:row>
          <xdr:rowOff>165100</xdr:rowOff>
        </xdr:from>
        <xdr:to>
          <xdr:col>2</xdr:col>
          <xdr:colOff>76200</xdr:colOff>
          <xdr:row>42</xdr:row>
          <xdr:rowOff>215900</xdr:rowOff>
        </xdr:to>
        <xdr:sp macro="" textlink="">
          <xdr:nvSpPr>
            <xdr:cNvPr id="1145" name="Check Box 121" hidden="1">
              <a:extLst>
                <a:ext uri="{63B3BB69-23CF-44E3-9099-C40C66FF867C}">
                  <a14:compatExt spid="_x0000_s1145"/>
                </a:ext>
                <a:ext uri="{FF2B5EF4-FFF2-40B4-BE49-F238E27FC236}">
                  <a16:creationId xmlns:a16="http://schemas.microsoft.com/office/drawing/2014/main" id="{00000000-0008-0000-0100-00007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977900</xdr:colOff>
          <xdr:row>42</xdr:row>
          <xdr:rowOff>0</xdr:rowOff>
        </xdr:from>
        <xdr:to>
          <xdr:col>2</xdr:col>
          <xdr:colOff>241300</xdr:colOff>
          <xdr:row>42</xdr:row>
          <xdr:rowOff>203200</xdr:rowOff>
        </xdr:to>
        <xdr:sp macro="" textlink="">
          <xdr:nvSpPr>
            <xdr:cNvPr id="1146" name="Check Box 122" hidden="1">
              <a:extLst>
                <a:ext uri="{63B3BB69-23CF-44E3-9099-C40C66FF867C}">
                  <a14:compatExt spid="_x0000_s1146"/>
                </a:ext>
                <a:ext uri="{FF2B5EF4-FFF2-40B4-BE49-F238E27FC236}">
                  <a16:creationId xmlns:a16="http://schemas.microsoft.com/office/drawing/2014/main" id="{00000000-0008-0000-0100-00007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BC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508000</xdr:colOff>
          <xdr:row>39</xdr:row>
          <xdr:rowOff>63500</xdr:rowOff>
        </xdr:from>
        <xdr:to>
          <xdr:col>1</xdr:col>
          <xdr:colOff>711200</xdr:colOff>
          <xdr:row>39</xdr:row>
          <xdr:rowOff>279400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584200</xdr:colOff>
          <xdr:row>39</xdr:row>
          <xdr:rowOff>88900</xdr:rowOff>
        </xdr:from>
        <xdr:to>
          <xdr:col>2</xdr:col>
          <xdr:colOff>787400</xdr:colOff>
          <xdr:row>39</xdr:row>
          <xdr:rowOff>292100</xdr:rowOff>
        </xdr:to>
        <xdr:sp macro="" textlink="">
          <xdr:nvSpPr>
            <xdr:cNvPr id="1152" name="Check Box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330200</xdr:colOff>
          <xdr:row>42</xdr:row>
          <xdr:rowOff>0</xdr:rowOff>
        </xdr:from>
        <xdr:to>
          <xdr:col>2</xdr:col>
          <xdr:colOff>838200</xdr:colOff>
          <xdr:row>42</xdr:row>
          <xdr:rowOff>241300</xdr:rowOff>
        </xdr:to>
        <xdr:sp macro="" textlink="">
          <xdr:nvSpPr>
            <xdr:cNvPr id="1153" name="Check Box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VAE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889000</xdr:colOff>
          <xdr:row>41</xdr:row>
          <xdr:rowOff>177800</xdr:rowOff>
        </xdr:from>
        <xdr:to>
          <xdr:col>2</xdr:col>
          <xdr:colOff>1397000</xdr:colOff>
          <xdr:row>42</xdr:row>
          <xdr:rowOff>228600</xdr:rowOff>
        </xdr:to>
        <xdr:sp macro="" textlink="">
          <xdr:nvSpPr>
            <xdr:cNvPr id="1154" name="Check Box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CFA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622300</xdr:colOff>
          <xdr:row>42</xdr:row>
          <xdr:rowOff>165100</xdr:rowOff>
        </xdr:from>
        <xdr:to>
          <xdr:col>2</xdr:col>
          <xdr:colOff>381000</xdr:colOff>
          <xdr:row>43</xdr:row>
          <xdr:rowOff>25400</xdr:rowOff>
        </xdr:to>
        <xdr:sp macro="" textlink="">
          <xdr:nvSpPr>
            <xdr:cNvPr id="1155" name="Check Box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fr-FR" sz="1100" b="0" i="0" u="none" strike="noStrike" baseline="0">
                  <a:solidFill>
                    <a:srgbClr val="000000"/>
                  </a:solidFill>
                  <a:latin typeface="Calibri" pitchFamily="2" charset="0"/>
                  <a:cs typeface="Calibri" pitchFamily="2" charset="0"/>
                </a:rPr>
                <a:t>Aucune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0</xdr:rowOff>
        </xdr:from>
        <xdr:to>
          <xdr:col>5</xdr:col>
          <xdr:colOff>698500</xdr:colOff>
          <xdr:row>22</xdr:row>
          <xdr:rowOff>12700</xdr:rowOff>
        </xdr:to>
        <xdr:sp macro="" textlink="">
          <xdr:nvSpPr>
            <xdr:cNvPr id="1156" name="Check Box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21</xdr:row>
          <xdr:rowOff>177800</xdr:rowOff>
        </xdr:from>
        <xdr:to>
          <xdr:col>5</xdr:col>
          <xdr:colOff>673100</xdr:colOff>
          <xdr:row>23</xdr:row>
          <xdr:rowOff>25400</xdr:rowOff>
        </xdr:to>
        <xdr:sp macro="" textlink="">
          <xdr:nvSpPr>
            <xdr:cNvPr id="1160" name="Check Box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457200</xdr:colOff>
          <xdr:row>22</xdr:row>
          <xdr:rowOff>0</xdr:rowOff>
        </xdr:from>
        <xdr:to>
          <xdr:col>5</xdr:col>
          <xdr:colOff>698500</xdr:colOff>
          <xdr:row>23</xdr:row>
          <xdr:rowOff>12700</xdr:rowOff>
        </xdr:to>
        <xdr:sp macro="" textlink="">
          <xdr:nvSpPr>
            <xdr:cNvPr id="1161" name="Check Box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21</xdr:row>
          <xdr:rowOff>177800</xdr:rowOff>
        </xdr:from>
        <xdr:to>
          <xdr:col>6</xdr:col>
          <xdr:colOff>901700</xdr:colOff>
          <xdr:row>23</xdr:row>
          <xdr:rowOff>0</xdr:rowOff>
        </xdr:to>
        <xdr:sp macro="" textlink="">
          <xdr:nvSpPr>
            <xdr:cNvPr id="1162" name="Check Box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endParaRPr lang="fr-FR" sz="1020" b="0" i="0" u="none" strike="noStrike" baseline="0">
                <a:solidFill>
                  <a:srgbClr val="000000"/>
                </a:solidFill>
                <a:latin typeface="Aptos Narrow" charset="0"/>
              </a:endParaRPr>
            </a:p>
            <a:p>
              <a:pPr algn="l" rtl="0">
                <a:defRPr sz="1000"/>
              </a:pPr>
              <a:endParaRPr lang="fr-FR" sz="1020" b="0" i="0" u="none" strike="noStrike" baseline="0">
                <a:solidFill>
                  <a:srgbClr val="000000"/>
                </a:solidFill>
                <a:latin typeface="Aptos Narrow" charset="0"/>
              </a:endParaRP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22</xdr:row>
          <xdr:rowOff>165100</xdr:rowOff>
        </xdr:from>
        <xdr:to>
          <xdr:col>6</xdr:col>
          <xdr:colOff>774700</xdr:colOff>
          <xdr:row>24</xdr:row>
          <xdr:rowOff>0</xdr:rowOff>
        </xdr:to>
        <xdr:sp macro="" textlink="">
          <xdr:nvSpPr>
            <xdr:cNvPr id="1163" name="Check Box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558800</xdr:colOff>
          <xdr:row>24</xdr:row>
          <xdr:rowOff>0</xdr:rowOff>
        </xdr:from>
        <xdr:to>
          <xdr:col>6</xdr:col>
          <xdr:colOff>863600</xdr:colOff>
          <xdr:row>24</xdr:row>
          <xdr:rowOff>190500</xdr:rowOff>
        </xdr:to>
        <xdr:sp macro="" textlink="">
          <xdr:nvSpPr>
            <xdr:cNvPr id="1164" name="Check Box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660400</xdr:colOff>
          <xdr:row>2</xdr:row>
          <xdr:rowOff>177800</xdr:rowOff>
        </xdr:from>
        <xdr:to>
          <xdr:col>5</xdr:col>
          <xdr:colOff>876300</xdr:colOff>
          <xdr:row>4</xdr:row>
          <xdr:rowOff>12700</xdr:rowOff>
        </xdr:to>
        <xdr:sp macro="" textlink="">
          <xdr:nvSpPr>
            <xdr:cNvPr id="11268" name="Check Box 4" hidden="1">
              <a:extLst>
                <a:ext uri="{63B3BB69-23CF-44E3-9099-C40C66FF867C}">
                  <a14:compatExt spid="_x0000_s11268"/>
                </a:ext>
                <a:ext uri="{FF2B5EF4-FFF2-40B4-BE49-F238E27FC236}">
                  <a16:creationId xmlns:a16="http://schemas.microsoft.com/office/drawing/2014/main" id="{00000000-0008-0000-0200-000004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4</xdr:row>
          <xdr:rowOff>177800</xdr:rowOff>
        </xdr:from>
        <xdr:to>
          <xdr:col>6</xdr:col>
          <xdr:colOff>901700</xdr:colOff>
          <xdr:row>6</xdr:row>
          <xdr:rowOff>25400</xdr:rowOff>
        </xdr:to>
        <xdr:sp macro="" textlink="">
          <xdr:nvSpPr>
            <xdr:cNvPr id="11271" name="Check Box 7" hidden="1">
              <a:extLst>
                <a:ext uri="{63B3BB69-23CF-44E3-9099-C40C66FF867C}">
                  <a14:compatExt spid="_x0000_s11271"/>
                </a:ext>
                <a:ext uri="{FF2B5EF4-FFF2-40B4-BE49-F238E27FC236}">
                  <a16:creationId xmlns:a16="http://schemas.microsoft.com/office/drawing/2014/main" id="{00000000-0008-0000-0200-000007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5</xdr:row>
          <xdr:rowOff>139700</xdr:rowOff>
        </xdr:from>
        <xdr:to>
          <xdr:col>6</xdr:col>
          <xdr:colOff>901700</xdr:colOff>
          <xdr:row>7</xdr:row>
          <xdr:rowOff>25400</xdr:rowOff>
        </xdr:to>
        <xdr:sp macro="" textlink="">
          <xdr:nvSpPr>
            <xdr:cNvPr id="11272" name="Check Box 8" hidden="1">
              <a:extLst>
                <a:ext uri="{63B3BB69-23CF-44E3-9099-C40C66FF867C}">
                  <a14:compatExt spid="_x0000_s11272"/>
                </a:ext>
                <a:ext uri="{FF2B5EF4-FFF2-40B4-BE49-F238E27FC236}">
                  <a16:creationId xmlns:a16="http://schemas.microsoft.com/office/drawing/2014/main" id="{00000000-0008-0000-0200-00000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5</xdr:row>
          <xdr:rowOff>152400</xdr:rowOff>
        </xdr:from>
        <xdr:to>
          <xdr:col>5</xdr:col>
          <xdr:colOff>876300</xdr:colOff>
          <xdr:row>7</xdr:row>
          <xdr:rowOff>38100</xdr:rowOff>
        </xdr:to>
        <xdr:sp macro="" textlink="">
          <xdr:nvSpPr>
            <xdr:cNvPr id="11273" name="Check Box 9" hidden="1">
              <a:extLst>
                <a:ext uri="{63B3BB69-23CF-44E3-9099-C40C66FF867C}">
                  <a14:compatExt spid="_x0000_s11273"/>
                </a:ext>
                <a:ext uri="{FF2B5EF4-FFF2-40B4-BE49-F238E27FC236}">
                  <a16:creationId xmlns:a16="http://schemas.microsoft.com/office/drawing/2014/main" id="{00000000-0008-0000-0200-00000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3</xdr:row>
          <xdr:rowOff>177800</xdr:rowOff>
        </xdr:from>
        <xdr:to>
          <xdr:col>5</xdr:col>
          <xdr:colOff>876300</xdr:colOff>
          <xdr:row>5</xdr:row>
          <xdr:rowOff>0</xdr:rowOff>
        </xdr:to>
        <xdr:sp macro="" textlink="">
          <xdr:nvSpPr>
            <xdr:cNvPr id="11274" name="Check Box 10" hidden="1">
              <a:extLst>
                <a:ext uri="{63B3BB69-23CF-44E3-9099-C40C66FF867C}">
                  <a14:compatExt spid="_x0000_s11274"/>
                </a:ext>
                <a:ext uri="{FF2B5EF4-FFF2-40B4-BE49-F238E27FC236}">
                  <a16:creationId xmlns:a16="http://schemas.microsoft.com/office/drawing/2014/main" id="{00000000-0008-0000-0200-00000A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4</xdr:row>
          <xdr:rowOff>177800</xdr:rowOff>
        </xdr:from>
        <xdr:to>
          <xdr:col>5</xdr:col>
          <xdr:colOff>876300</xdr:colOff>
          <xdr:row>6</xdr:row>
          <xdr:rowOff>38100</xdr:rowOff>
        </xdr:to>
        <xdr:sp macro="" textlink="">
          <xdr:nvSpPr>
            <xdr:cNvPr id="11275" name="Check Box 11" hidden="1">
              <a:extLst>
                <a:ext uri="{63B3BB69-23CF-44E3-9099-C40C66FF867C}">
                  <a14:compatExt spid="_x0000_s11275"/>
                </a:ext>
                <a:ext uri="{FF2B5EF4-FFF2-40B4-BE49-F238E27FC236}">
                  <a16:creationId xmlns:a16="http://schemas.microsoft.com/office/drawing/2014/main" id="{00000000-0008-0000-0200-00000B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698500</xdr:colOff>
          <xdr:row>2</xdr:row>
          <xdr:rowOff>177800</xdr:rowOff>
        </xdr:from>
        <xdr:to>
          <xdr:col>6</xdr:col>
          <xdr:colOff>914400</xdr:colOff>
          <xdr:row>4</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200-00000D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3</xdr:row>
          <xdr:rowOff>177800</xdr:rowOff>
        </xdr:from>
        <xdr:to>
          <xdr:col>6</xdr:col>
          <xdr:colOff>901700</xdr:colOff>
          <xdr:row>5</xdr:row>
          <xdr:rowOff>12700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200-00000E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660400</xdr:colOff>
          <xdr:row>6</xdr:row>
          <xdr:rowOff>139700</xdr:rowOff>
        </xdr:from>
        <xdr:to>
          <xdr:col>5</xdr:col>
          <xdr:colOff>876300</xdr:colOff>
          <xdr:row>8</xdr:row>
          <xdr:rowOff>25400</xdr:rowOff>
        </xdr:to>
        <xdr:sp macro="" textlink="">
          <xdr:nvSpPr>
            <xdr:cNvPr id="11288" name="Check Box 24" hidden="1">
              <a:extLst>
                <a:ext uri="{63B3BB69-23CF-44E3-9099-C40C66FF867C}">
                  <a14:compatExt spid="_x0000_s11288"/>
                </a:ext>
                <a:ext uri="{FF2B5EF4-FFF2-40B4-BE49-F238E27FC236}">
                  <a16:creationId xmlns:a16="http://schemas.microsoft.com/office/drawing/2014/main" id="{00000000-0008-0000-0200-000018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685800</xdr:colOff>
          <xdr:row>6</xdr:row>
          <xdr:rowOff>152400</xdr:rowOff>
        </xdr:from>
        <xdr:to>
          <xdr:col>6</xdr:col>
          <xdr:colOff>901700</xdr:colOff>
          <xdr:row>8</xdr:row>
          <xdr:rowOff>38100</xdr:rowOff>
        </xdr:to>
        <xdr:sp macro="" textlink="">
          <xdr:nvSpPr>
            <xdr:cNvPr id="11289" name="Check Box 25" hidden="1">
              <a:extLst>
                <a:ext uri="{63B3BB69-23CF-44E3-9099-C40C66FF867C}">
                  <a14:compatExt spid="_x0000_s11289"/>
                </a:ext>
                <a:ext uri="{FF2B5EF4-FFF2-40B4-BE49-F238E27FC236}">
                  <a16:creationId xmlns:a16="http://schemas.microsoft.com/office/drawing/2014/main" id="{00000000-0008-0000-0200-0000192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548640</xdr:colOff>
      <xdr:row>0</xdr:row>
      <xdr:rowOff>15240</xdr:rowOff>
    </xdr:from>
    <xdr:to>
      <xdr:col>4</xdr:col>
      <xdr:colOff>1102408</xdr:colOff>
      <xdr:row>3</xdr:row>
      <xdr:rowOff>114276</xdr:rowOff>
    </xdr:to>
    <xdr:pic>
      <xdr:nvPicPr>
        <xdr:cNvPr id="2" name="Imag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70320" y="15240"/>
          <a:ext cx="2123488" cy="8229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215900</xdr:colOff>
          <xdr:row>0</xdr:row>
          <xdr:rowOff>88900</xdr:rowOff>
        </xdr:from>
        <xdr:to>
          <xdr:col>8</xdr:col>
          <xdr:colOff>0</xdr:colOff>
          <xdr:row>0</xdr:row>
          <xdr:rowOff>711200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4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2. Générer les fiches de non-conformité</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342900</xdr:colOff>
          <xdr:row>0</xdr:row>
          <xdr:rowOff>88900</xdr:rowOff>
        </xdr:from>
        <xdr:to>
          <xdr:col>6</xdr:col>
          <xdr:colOff>1524000</xdr:colOff>
          <xdr:row>0</xdr:row>
          <xdr:rowOff>698500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400-000008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fr-FR" sz="1200" b="1" i="0" u="none" strike="noStrike" baseline="0">
                  <a:solidFill>
                    <a:srgbClr val="000000"/>
                  </a:solidFill>
                  <a:latin typeface="Calibri" pitchFamily="2" charset="0"/>
                  <a:cs typeface="Calibri" pitchFamily="2" charset="0"/>
                </a:rPr>
                <a:t>1. Choix du référentiel</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1318259</xdr:colOff>
      <xdr:row>0</xdr:row>
      <xdr:rowOff>152400</xdr:rowOff>
    </xdr:from>
    <xdr:to>
      <xdr:col>3</xdr:col>
      <xdr:colOff>2308860</xdr:colOff>
      <xdr:row>5</xdr:row>
      <xdr:rowOff>99338</xdr:rowOff>
    </xdr:to>
    <xdr:pic>
      <xdr:nvPicPr>
        <xdr:cNvPr id="5" name="Imag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38499" y="152400"/>
          <a:ext cx="2659381" cy="861338"/>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2324097</xdr:colOff>
      <xdr:row>4</xdr:row>
      <xdr:rowOff>76199</xdr:rowOff>
    </xdr:to>
    <xdr:pic>
      <xdr:nvPicPr>
        <xdr:cNvPr id="2" name="Imag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600450" y="53340"/>
          <a:ext cx="247268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774700</xdr:colOff>
          <xdr:row>37</xdr:row>
          <xdr:rowOff>38100</xdr:rowOff>
        </xdr:from>
        <xdr:to>
          <xdr:col>6</xdr:col>
          <xdr:colOff>63500</xdr:colOff>
          <xdr:row>38</xdr:row>
          <xdr:rowOff>76200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7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469900</xdr:colOff>
          <xdr:row>38</xdr:row>
          <xdr:rowOff>25400</xdr:rowOff>
        </xdr:from>
        <xdr:to>
          <xdr:col>6</xdr:col>
          <xdr:colOff>711200</xdr:colOff>
          <xdr:row>39</xdr:row>
          <xdr:rowOff>63500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7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2</xdr:col>
      <xdr:colOff>1333500</xdr:colOff>
      <xdr:row>0</xdr:row>
      <xdr:rowOff>53340</xdr:rowOff>
    </xdr:from>
    <xdr:to>
      <xdr:col>3</xdr:col>
      <xdr:colOff>2198367</xdr:colOff>
      <xdr:row>4</xdr:row>
      <xdr:rowOff>125729</xdr:rowOff>
    </xdr:to>
    <xdr:pic>
      <xdr:nvPicPr>
        <xdr:cNvPr id="2" name="Imag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37560" y="53340"/>
          <a:ext cx="2449827" cy="803909"/>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800100</xdr:colOff>
          <xdr:row>39</xdr:row>
          <xdr:rowOff>38100</xdr:rowOff>
        </xdr:from>
        <xdr:to>
          <xdr:col>5</xdr:col>
          <xdr:colOff>990600</xdr:colOff>
          <xdr:row>39</xdr:row>
          <xdr:rowOff>266700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8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406400</xdr:colOff>
          <xdr:row>40</xdr:row>
          <xdr:rowOff>50800</xdr:rowOff>
        </xdr:from>
        <xdr:to>
          <xdr:col>6</xdr:col>
          <xdr:colOff>647700</xdr:colOff>
          <xdr:row>40</xdr:row>
          <xdr:rowOff>266700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8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1308100</xdr:colOff>
          <xdr:row>18</xdr:row>
          <xdr:rowOff>127000</xdr:rowOff>
        </xdr:from>
        <xdr:to>
          <xdr:col>3</xdr:col>
          <xdr:colOff>1079500</xdr:colOff>
          <xdr:row>19</xdr:row>
          <xdr:rowOff>317500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8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Actions de formation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1295400</xdr:colOff>
          <xdr:row>19</xdr:row>
          <xdr:rowOff>190500</xdr:rowOff>
        </xdr:from>
        <xdr:to>
          <xdr:col>3</xdr:col>
          <xdr:colOff>1193800</xdr:colOff>
          <xdr:row>19</xdr:row>
          <xdr:rowOff>571500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8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Bilan de compétences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19</xdr:row>
          <xdr:rowOff>177800</xdr:rowOff>
        </xdr:from>
        <xdr:to>
          <xdr:col>3</xdr:col>
          <xdr:colOff>2235200</xdr:colOff>
          <xdr:row>19</xdr:row>
          <xdr:rowOff>558800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8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Apprentissage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1422400</xdr:colOff>
          <xdr:row>18</xdr:row>
          <xdr:rowOff>114300</xdr:rowOff>
        </xdr:from>
        <xdr:to>
          <xdr:col>3</xdr:col>
          <xdr:colOff>2235200</xdr:colOff>
          <xdr:row>19</xdr:row>
          <xdr:rowOff>304800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8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fr-FR" sz="800" b="0" i="0" u="none" strike="noStrike" baseline="0">
                  <a:solidFill>
                    <a:srgbClr val="000000"/>
                  </a:solidFill>
                  <a:latin typeface="Segoe UI"/>
                  <a:cs typeface="Segoe UI"/>
                </a:rPr>
                <a:t>VAE</a:t>
              </a:r>
            </a:p>
          </xdr:txBody>
        </xdr:sp>
        <xdr:clientData/>
      </xdr:twoCellAnchor>
    </mc:Choice>
    <mc:Fallback/>
  </mc:AlternateContent>
</xdr: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1.xml"/><Relationship Id="rId21" Type="http://schemas.openxmlformats.org/officeDocument/2006/relationships/ctrlProp" Target="../ctrlProps/ctrlProp16.xml"/><Relationship Id="rId42" Type="http://schemas.openxmlformats.org/officeDocument/2006/relationships/ctrlProp" Target="../ctrlProps/ctrlProp37.xml"/><Relationship Id="rId47" Type="http://schemas.openxmlformats.org/officeDocument/2006/relationships/ctrlProp" Target="../ctrlProps/ctrlProp42.xml"/><Relationship Id="rId63" Type="http://schemas.openxmlformats.org/officeDocument/2006/relationships/ctrlProp" Target="../ctrlProps/ctrlProp58.xml"/><Relationship Id="rId68" Type="http://schemas.openxmlformats.org/officeDocument/2006/relationships/ctrlProp" Target="../ctrlProps/ctrlProp63.xml"/><Relationship Id="rId7" Type="http://schemas.openxmlformats.org/officeDocument/2006/relationships/ctrlProp" Target="../ctrlProps/ctrlProp2.xml"/><Relationship Id="rId2" Type="http://schemas.openxmlformats.org/officeDocument/2006/relationships/hyperlink" Target="https://travail-emploi.gouv.fr/demarches-ressources-documentaires/documentation-et-publications-officielles/guides/guide-referentiel-national-qualite"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66" Type="http://schemas.openxmlformats.org/officeDocument/2006/relationships/ctrlProp" Target="../ctrlProps/ctrlProp61.xml"/><Relationship Id="rId5" Type="http://schemas.openxmlformats.org/officeDocument/2006/relationships/vmlDrawing" Target="../drawings/vmlDrawing1.vml"/><Relationship Id="rId61" Type="http://schemas.openxmlformats.org/officeDocument/2006/relationships/ctrlProp" Target="../ctrlProps/ctrlProp56.xml"/><Relationship Id="rId19" Type="http://schemas.openxmlformats.org/officeDocument/2006/relationships/ctrlProp" Target="../ctrlProps/ctrlProp1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trlProp" Target="../ctrlProps/ctrlProp59.xml"/><Relationship Id="rId69" Type="http://schemas.openxmlformats.org/officeDocument/2006/relationships/comments" Target="../comments1.xml"/><Relationship Id="rId8" Type="http://schemas.openxmlformats.org/officeDocument/2006/relationships/ctrlProp" Target="../ctrlProps/ctrlProp3.xml"/><Relationship Id="rId51" Type="http://schemas.openxmlformats.org/officeDocument/2006/relationships/ctrlProp" Target="../ctrlProps/ctrlProp46.xml"/><Relationship Id="rId3" Type="http://schemas.openxmlformats.org/officeDocument/2006/relationships/printerSettings" Target="../printerSettings/printerSettings2.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67" Type="http://schemas.openxmlformats.org/officeDocument/2006/relationships/ctrlProp" Target="../ctrlProps/ctrlProp62.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1" Type="http://schemas.openxmlformats.org/officeDocument/2006/relationships/hyperlink" Target="https://travail-emploi.gouv.fr/demarches-ressources-documentaires/documentation-et-publications-officielles/guides/guide-referentiel-national-qualite" TargetMode="External"/><Relationship Id="rId6" Type="http://schemas.openxmlformats.org/officeDocument/2006/relationships/ctrlProp" Target="../ctrlProps/ctrlProp1.x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10" Type="http://schemas.openxmlformats.org/officeDocument/2006/relationships/ctrlProp" Target="../ctrlProps/ctrlProp5.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4" Type="http://schemas.openxmlformats.org/officeDocument/2006/relationships/drawing" Target="../drawings/drawing2.xml"/><Relationship Id="rId9" Type="http://schemas.openxmlformats.org/officeDocument/2006/relationships/ctrlProp" Target="../ctrlProps/ctrlProp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68.xml"/><Relationship Id="rId13" Type="http://schemas.openxmlformats.org/officeDocument/2006/relationships/ctrlProp" Target="../ctrlProps/ctrlProp73.xml"/><Relationship Id="rId3" Type="http://schemas.openxmlformats.org/officeDocument/2006/relationships/vmlDrawing" Target="../drawings/vmlDrawing2.vml"/><Relationship Id="rId7" Type="http://schemas.openxmlformats.org/officeDocument/2006/relationships/ctrlProp" Target="../ctrlProps/ctrlProp67.xml"/><Relationship Id="rId12" Type="http://schemas.openxmlformats.org/officeDocument/2006/relationships/ctrlProp" Target="../ctrlProps/ctrlProp7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6.xml"/><Relationship Id="rId11" Type="http://schemas.openxmlformats.org/officeDocument/2006/relationships/ctrlProp" Target="../ctrlProps/ctrlProp71.xml"/><Relationship Id="rId5" Type="http://schemas.openxmlformats.org/officeDocument/2006/relationships/ctrlProp" Target="../ctrlProps/ctrlProp65.xml"/><Relationship Id="rId10" Type="http://schemas.openxmlformats.org/officeDocument/2006/relationships/ctrlProp" Target="../ctrlProps/ctrlProp70.xml"/><Relationship Id="rId4" Type="http://schemas.openxmlformats.org/officeDocument/2006/relationships/ctrlProp" Target="../ctrlProps/ctrlProp64.xml"/><Relationship Id="rId9" Type="http://schemas.openxmlformats.org/officeDocument/2006/relationships/ctrlProp" Target="../ctrlProps/ctrlProp69.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75.xml"/><Relationship Id="rId4" Type="http://schemas.openxmlformats.org/officeDocument/2006/relationships/ctrlProp" Target="../ctrlProps/ctrlProp7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trlProp" Target="../ctrlProps/ctrlProp77.xml"/><Relationship Id="rId4" Type="http://schemas.openxmlformats.org/officeDocument/2006/relationships/ctrlProp" Target="../ctrlProps/ctrlProp7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82.xml"/><Relationship Id="rId3" Type="http://schemas.openxmlformats.org/officeDocument/2006/relationships/vmlDrawing" Target="../drawings/vmlDrawing5.vml"/><Relationship Id="rId7" Type="http://schemas.openxmlformats.org/officeDocument/2006/relationships/ctrlProp" Target="../ctrlProps/ctrlProp81.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 Id="rId9"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B72EC-B1D2-4055-B4CE-F8625D4E3857}">
  <sheetPr codeName="Feuil6">
    <pageSetUpPr fitToPage="1"/>
  </sheetPr>
  <dimension ref="A48:G49"/>
  <sheetViews>
    <sheetView zoomScaleNormal="100" zoomScalePageLayoutView="65" workbookViewId="0"/>
  </sheetViews>
  <sheetFormatPr baseColWidth="10" defaultRowHeight="15" x14ac:dyDescent="0.2"/>
  <sheetData>
    <row r="48" spans="1:7" x14ac:dyDescent="0.2">
      <c r="A48" s="162" t="s">
        <v>100</v>
      </c>
      <c r="B48" s="162"/>
      <c r="C48" s="162"/>
      <c r="D48" s="162"/>
      <c r="E48" s="162"/>
      <c r="F48" s="162"/>
      <c r="G48" s="162"/>
    </row>
    <row r="49" spans="1:7" x14ac:dyDescent="0.2">
      <c r="A49" s="163" t="s">
        <v>458</v>
      </c>
      <c r="B49" s="163"/>
      <c r="C49" s="163"/>
      <c r="D49" s="163"/>
      <c r="E49" s="163"/>
      <c r="F49" s="163"/>
      <c r="G49" s="163"/>
    </row>
  </sheetData>
  <mergeCells count="2">
    <mergeCell ref="A48:G48"/>
    <mergeCell ref="A49:G49"/>
  </mergeCells>
  <pageMargins left="0.7" right="0.7" top="0.75" bottom="0.75" header="0.3" footer="0.3"/>
  <pageSetup paperSize="9" scale="94"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2BBFBC-6EF3-4579-8803-AE3E89187AA7}">
  <sheetPr codeName="Feuil1">
    <pageSetUpPr fitToPage="1"/>
  </sheetPr>
  <dimension ref="A1:I83"/>
  <sheetViews>
    <sheetView showGridLines="0" topLeftCell="A46" zoomScale="85" zoomScaleNormal="85" zoomScaleSheetLayoutView="80" zoomScalePageLayoutView="65" workbookViewId="0">
      <selection activeCell="G60" sqref="G60"/>
    </sheetView>
  </sheetViews>
  <sheetFormatPr baseColWidth="10" defaultColWidth="11.5" defaultRowHeight="15" x14ac:dyDescent="0.2"/>
  <cols>
    <col min="1" max="1" width="60" customWidth="1"/>
    <col min="2" max="2" width="16.5" style="41" customWidth="1"/>
    <col min="3" max="3" width="19.1640625" style="41" customWidth="1"/>
    <col min="5" max="5" width="70" customWidth="1"/>
    <col min="6" max="6" width="16.5" customWidth="1"/>
    <col min="7" max="8" width="18.6640625" customWidth="1"/>
    <col min="9" max="9" width="11.5" hidden="1" customWidth="1"/>
  </cols>
  <sheetData>
    <row r="1" spans="1:7" ht="29" x14ac:dyDescent="0.35">
      <c r="A1" s="47" t="s">
        <v>201</v>
      </c>
    </row>
    <row r="3" spans="1:7" s="88" customFormat="1" x14ac:dyDescent="0.2">
      <c r="A3" s="88" t="s">
        <v>122</v>
      </c>
      <c r="B3" s="89"/>
      <c r="C3" s="89"/>
      <c r="G3"/>
    </row>
    <row r="4" spans="1:7" s="88" customFormat="1" x14ac:dyDescent="0.2">
      <c r="A4" s="183" t="s">
        <v>128</v>
      </c>
      <c r="B4" s="183"/>
      <c r="C4" s="183"/>
      <c r="G4"/>
    </row>
    <row r="5" spans="1:7" x14ac:dyDescent="0.2">
      <c r="A5" s="183"/>
      <c r="B5" s="183"/>
      <c r="C5" s="183"/>
    </row>
    <row r="6" spans="1:7" ht="14.5" customHeight="1" x14ac:dyDescent="0.2">
      <c r="A6" s="98" t="s">
        <v>172</v>
      </c>
      <c r="B6" s="166"/>
      <c r="C6" s="167"/>
      <c r="E6" s="99" t="s">
        <v>459</v>
      </c>
    </row>
    <row r="7" spans="1:7" ht="14.5" customHeight="1" x14ac:dyDescent="0.2">
      <c r="A7" s="98" t="s">
        <v>107</v>
      </c>
      <c r="B7" s="166"/>
      <c r="C7" s="167"/>
    </row>
    <row r="8" spans="1:7" ht="14.5" customHeight="1" x14ac:dyDescent="0.2">
      <c r="A8" s="98" t="s">
        <v>248</v>
      </c>
      <c r="B8" s="186"/>
      <c r="C8" s="187"/>
      <c r="E8" s="100" t="s">
        <v>21</v>
      </c>
      <c r="F8" s="166"/>
      <c r="G8" s="167"/>
    </row>
    <row r="9" spans="1:7" ht="14.5" customHeight="1" x14ac:dyDescent="0.2">
      <c r="A9" s="145" t="s">
        <v>169</v>
      </c>
      <c r="B9" s="182" t="b">
        <v>0</v>
      </c>
      <c r="C9" s="182"/>
      <c r="E9" s="101" t="s">
        <v>12</v>
      </c>
      <c r="F9" s="184"/>
      <c r="G9" s="185"/>
    </row>
    <row r="10" spans="1:7" ht="14.5" customHeight="1" x14ac:dyDescent="0.2">
      <c r="A10" s="145" t="s">
        <v>173</v>
      </c>
      <c r="B10" s="182" t="b">
        <v>0</v>
      </c>
      <c r="C10" s="182"/>
      <c r="E10" s="102" t="s">
        <v>13</v>
      </c>
      <c r="F10" s="166"/>
      <c r="G10" s="167"/>
    </row>
    <row r="11" spans="1:7" ht="14.5" customHeight="1" x14ac:dyDescent="0.2">
      <c r="A11" s="41"/>
    </row>
    <row r="12" spans="1:7" ht="14.5" customHeight="1" x14ac:dyDescent="0.2">
      <c r="A12" s="143" t="s">
        <v>117</v>
      </c>
      <c r="B12" s="170"/>
      <c r="C12" s="170"/>
      <c r="E12" s="174" t="s">
        <v>68</v>
      </c>
      <c r="F12" s="175"/>
      <c r="G12" s="176"/>
    </row>
    <row r="13" spans="1:7" ht="14.5" customHeight="1" x14ac:dyDescent="0.2">
      <c r="A13" s="144" t="s">
        <v>6</v>
      </c>
      <c r="B13" s="170"/>
      <c r="C13" s="170"/>
      <c r="E13" s="171" t="s">
        <v>171</v>
      </c>
      <c r="F13" s="172"/>
      <c r="G13" s="173"/>
    </row>
    <row r="14" spans="1:7" ht="14.5" customHeight="1" x14ac:dyDescent="0.2">
      <c r="A14" s="144" t="s">
        <v>7</v>
      </c>
      <c r="B14" s="170"/>
      <c r="C14" s="170"/>
      <c r="D14" s="141"/>
      <c r="E14" s="179" t="s">
        <v>129</v>
      </c>
      <c r="F14" s="180"/>
      <c r="G14" s="181"/>
    </row>
    <row r="15" spans="1:7" x14ac:dyDescent="0.2">
      <c r="A15" s="144" t="s">
        <v>8</v>
      </c>
      <c r="B15" s="170"/>
      <c r="C15" s="170"/>
    </row>
    <row r="16" spans="1:7" ht="14.5" customHeight="1" x14ac:dyDescent="0.2">
      <c r="A16" s="144" t="s">
        <v>443</v>
      </c>
      <c r="B16" s="170"/>
      <c r="C16" s="170"/>
      <c r="E16" s="60" t="s">
        <v>136</v>
      </c>
      <c r="F16" s="60" t="s">
        <v>131</v>
      </c>
      <c r="G16" s="60" t="s">
        <v>132</v>
      </c>
    </row>
    <row r="17" spans="1:9" ht="14.5" customHeight="1" x14ac:dyDescent="0.2">
      <c r="A17" s="144" t="s">
        <v>444</v>
      </c>
      <c r="B17" s="170"/>
      <c r="C17" s="170"/>
      <c r="E17" s="103" t="s">
        <v>135</v>
      </c>
      <c r="F17" s="160" t="b">
        <v>0</v>
      </c>
      <c r="G17" s="160" t="b">
        <v>0</v>
      </c>
    </row>
    <row r="18" spans="1:9" ht="16" x14ac:dyDescent="0.2">
      <c r="E18" s="103" t="s">
        <v>133</v>
      </c>
      <c r="F18" s="160" t="b">
        <v>0</v>
      </c>
      <c r="G18" s="160" t="b">
        <v>0</v>
      </c>
    </row>
    <row r="19" spans="1:9" ht="16" x14ac:dyDescent="0.2">
      <c r="A19" s="42"/>
      <c r="B19" s="42"/>
      <c r="C19" s="42"/>
      <c r="E19" s="104" t="s">
        <v>174</v>
      </c>
      <c r="F19" s="177"/>
      <c r="G19" s="178"/>
    </row>
    <row r="20" spans="1:9" x14ac:dyDescent="0.2">
      <c r="A20" s="189" t="s">
        <v>9</v>
      </c>
      <c r="B20" s="189"/>
      <c r="C20" s="189"/>
    </row>
    <row r="21" spans="1:9" x14ac:dyDescent="0.2">
      <c r="A21" s="105" t="s">
        <v>10</v>
      </c>
      <c r="B21" s="166"/>
      <c r="C21" s="167"/>
      <c r="E21" s="60" t="s">
        <v>197</v>
      </c>
      <c r="F21" s="61" t="s">
        <v>104</v>
      </c>
      <c r="G21" s="60" t="s">
        <v>96</v>
      </c>
    </row>
    <row r="22" spans="1:9" x14ac:dyDescent="0.2">
      <c r="A22" s="105" t="s">
        <v>11</v>
      </c>
      <c r="B22" s="166"/>
      <c r="C22" s="167"/>
      <c r="E22" s="45" t="s">
        <v>198</v>
      </c>
      <c r="F22" s="142" t="b">
        <v>0</v>
      </c>
      <c r="G22" s="142" t="b">
        <v>0</v>
      </c>
      <c r="I22" s="141" t="e">
        <f>IF(OR(#REF!=TRUE,G22=TRUE),"AF, ","")</f>
        <v>#REF!</v>
      </c>
    </row>
    <row r="23" spans="1:9" x14ac:dyDescent="0.2">
      <c r="A23" s="105" t="s">
        <v>12</v>
      </c>
      <c r="B23" s="184"/>
      <c r="C23" s="185"/>
      <c r="E23" s="45" t="s">
        <v>396</v>
      </c>
      <c r="F23" s="142" t="b">
        <v>0</v>
      </c>
      <c r="G23" s="142" t="b">
        <v>0</v>
      </c>
      <c r="I23" s="141" t="str">
        <f>IF(OR(F22=TRUE,G23=TRUE),"BC, ","")</f>
        <v/>
      </c>
    </row>
    <row r="24" spans="1:9" x14ac:dyDescent="0.2">
      <c r="A24" s="106" t="s">
        <v>13</v>
      </c>
      <c r="B24" s="166"/>
      <c r="C24" s="167"/>
      <c r="E24" s="45" t="s">
        <v>22</v>
      </c>
      <c r="F24" s="142" t="b">
        <v>0</v>
      </c>
      <c r="G24" s="142" t="b">
        <v>0</v>
      </c>
      <c r="I24" s="141" t="str">
        <f>IF(OR(F24=TRUE,G24=TRUE),"VAE, ","")</f>
        <v/>
      </c>
    </row>
    <row r="25" spans="1:9" ht="17.5" customHeight="1" x14ac:dyDescent="0.2">
      <c r="A25" s="42"/>
      <c r="B25" s="42"/>
      <c r="C25" s="42"/>
      <c r="E25" s="45" t="s">
        <v>69</v>
      </c>
      <c r="F25" s="142" t="b">
        <v>0</v>
      </c>
      <c r="G25" s="142" t="b">
        <v>0</v>
      </c>
      <c r="I25" s="141" t="str">
        <f>IF(OR(F25=TRUE,G25=TRUE),"CFA","")</f>
        <v/>
      </c>
    </row>
    <row r="26" spans="1:9" ht="17.5" customHeight="1" x14ac:dyDescent="0.2">
      <c r="A26" s="190" t="s">
        <v>94</v>
      </c>
      <c r="B26" s="191"/>
      <c r="C26" s="192"/>
    </row>
    <row r="27" spans="1:9" ht="17.5" customHeight="1" x14ac:dyDescent="0.2">
      <c r="A27" s="72" t="s">
        <v>10</v>
      </c>
      <c r="B27" s="186"/>
      <c r="C27" s="187"/>
      <c r="E27" s="188"/>
      <c r="F27" s="188"/>
      <c r="G27" s="188"/>
    </row>
    <row r="28" spans="1:9" ht="17.5" customHeight="1" x14ac:dyDescent="0.2">
      <c r="A28" s="72" t="s">
        <v>11</v>
      </c>
      <c r="B28" s="186"/>
      <c r="C28" s="187"/>
      <c r="E28" s="43" t="s">
        <v>63</v>
      </c>
      <c r="F28" s="168" t="b">
        <v>0</v>
      </c>
      <c r="G28" s="168"/>
      <c r="I28" t="str">
        <f>IF(F28,"Audit initial, ","")</f>
        <v/>
      </c>
    </row>
    <row r="29" spans="1:9" ht="17.5" customHeight="1" x14ac:dyDescent="0.2">
      <c r="A29" s="72" t="s">
        <v>12</v>
      </c>
      <c r="B29" s="186"/>
      <c r="C29" s="187"/>
      <c r="E29" s="43" t="s">
        <v>64</v>
      </c>
      <c r="F29" s="168" t="b">
        <v>0</v>
      </c>
      <c r="G29" s="168"/>
      <c r="I29" t="str">
        <f>IF(F29,"Audit de surveillance, ","")</f>
        <v/>
      </c>
    </row>
    <row r="30" spans="1:9" ht="17.5" customHeight="1" x14ac:dyDescent="0.2">
      <c r="A30" s="72" t="s">
        <v>13</v>
      </c>
      <c r="B30" s="186"/>
      <c r="C30" s="187"/>
      <c r="E30" s="43" t="s">
        <v>65</v>
      </c>
      <c r="F30" s="168" t="b">
        <v>0</v>
      </c>
      <c r="G30" s="168"/>
      <c r="I30" t="str">
        <f>IF(F30,"Audit de renouvellement, ","")</f>
        <v/>
      </c>
    </row>
    <row r="31" spans="1:9" ht="17.5" customHeight="1" x14ac:dyDescent="0.2">
      <c r="A31" s="42"/>
      <c r="B31" s="42"/>
      <c r="C31" s="42"/>
      <c r="E31" s="43" t="s">
        <v>66</v>
      </c>
      <c r="F31" s="168" t="b">
        <v>0</v>
      </c>
      <c r="G31" s="168"/>
      <c r="I31" t="str">
        <f>IF(F31,"Audit d'extension, ","")</f>
        <v/>
      </c>
    </row>
    <row r="32" spans="1:9" ht="17.5" customHeight="1" x14ac:dyDescent="0.2">
      <c r="A32" s="132" t="s">
        <v>252</v>
      </c>
      <c r="B32" s="133" t="s">
        <v>131</v>
      </c>
      <c r="C32" s="133" t="s">
        <v>132</v>
      </c>
      <c r="E32" s="43" t="s">
        <v>67</v>
      </c>
      <c r="F32" s="168" t="b">
        <v>0</v>
      </c>
      <c r="G32" s="168"/>
      <c r="I32" t="str">
        <f>IF(F32,"Audit complémentaire, ","")</f>
        <v/>
      </c>
    </row>
    <row r="33" spans="1:9" ht="17.5" customHeight="1" x14ac:dyDescent="0.2">
      <c r="A33" s="129" t="s">
        <v>282</v>
      </c>
      <c r="B33" s="158" t="b">
        <v>0</v>
      </c>
      <c r="C33" s="158" t="b">
        <v>0</v>
      </c>
      <c r="E33" s="140" t="s">
        <v>276</v>
      </c>
      <c r="F33" s="169" t="b">
        <v>0</v>
      </c>
      <c r="G33" s="169"/>
      <c r="I33" t="str">
        <f>IF(F33,"Audit ajout de site, ","")</f>
        <v/>
      </c>
    </row>
    <row r="34" spans="1:9" ht="17.5" customHeight="1" x14ac:dyDescent="0.2">
      <c r="A34" s="165" t="s">
        <v>277</v>
      </c>
      <c r="B34" s="169" t="b">
        <v>0</v>
      </c>
      <c r="C34" s="169" t="b">
        <v>0</v>
      </c>
      <c r="E34" s="43" t="s">
        <v>247</v>
      </c>
      <c r="F34" s="203"/>
      <c r="G34" s="203"/>
      <c r="I34" t="str">
        <f>IF(F34=0,"",F34)</f>
        <v/>
      </c>
    </row>
    <row r="35" spans="1:9" ht="24" customHeight="1" x14ac:dyDescent="0.2">
      <c r="A35" s="165"/>
      <c r="B35" s="169"/>
      <c r="C35" s="169"/>
    </row>
    <row r="36" spans="1:9" ht="28.25" customHeight="1" x14ac:dyDescent="0.2">
      <c r="A36" s="128" t="s">
        <v>349</v>
      </c>
      <c r="B36" s="159" t="b">
        <v>0</v>
      </c>
      <c r="C36" s="159" t="b">
        <v>0</v>
      </c>
      <c r="F36" s="60" t="s">
        <v>131</v>
      </c>
      <c r="G36" s="60" t="s">
        <v>132</v>
      </c>
      <c r="H36" s="93" t="s">
        <v>250</v>
      </c>
    </row>
    <row r="37" spans="1:9" ht="17.5" customHeight="1" x14ac:dyDescent="0.2">
      <c r="A37" s="129" t="s">
        <v>278</v>
      </c>
      <c r="B37" s="159" t="b">
        <v>0</v>
      </c>
      <c r="C37" s="159" t="b">
        <v>0</v>
      </c>
      <c r="E37" s="44" t="s">
        <v>419</v>
      </c>
      <c r="F37" s="158" t="b">
        <v>0</v>
      </c>
      <c r="G37" s="158" t="b">
        <v>0</v>
      </c>
      <c r="H37" s="160" t="b">
        <v>0</v>
      </c>
    </row>
    <row r="38" spans="1:9" x14ac:dyDescent="0.2">
      <c r="A38" s="129" t="s">
        <v>279</v>
      </c>
      <c r="B38" s="159" t="b">
        <v>0</v>
      </c>
      <c r="C38" s="159" t="b">
        <v>0</v>
      </c>
    </row>
    <row r="39" spans="1:9" ht="32" x14ac:dyDescent="0.2">
      <c r="A39" s="128" t="s">
        <v>280</v>
      </c>
      <c r="B39" s="159" t="b">
        <v>0</v>
      </c>
      <c r="C39" s="159" t="b">
        <v>0</v>
      </c>
      <c r="E39" s="60" t="s">
        <v>170</v>
      </c>
      <c r="F39" s="93" t="s">
        <v>131</v>
      </c>
      <c r="G39" s="93" t="s">
        <v>132</v>
      </c>
      <c r="H39" s="93" t="s">
        <v>250</v>
      </c>
    </row>
    <row r="40" spans="1:9" ht="28.75" customHeight="1" x14ac:dyDescent="0.2">
      <c r="A40" s="128" t="s">
        <v>281</v>
      </c>
      <c r="B40" s="160" t="b">
        <v>0</v>
      </c>
      <c r="C40" s="159" t="b">
        <v>0</v>
      </c>
      <c r="D40" s="141" t="b">
        <v>0</v>
      </c>
      <c r="E40" s="128" t="s">
        <v>418</v>
      </c>
      <c r="F40" s="160" t="b">
        <v>0</v>
      </c>
      <c r="G40" s="160" t="b">
        <v>0</v>
      </c>
      <c r="H40" s="160" t="b">
        <v>0</v>
      </c>
    </row>
    <row r="41" spans="1:9" ht="28.75" customHeight="1" x14ac:dyDescent="0.2">
      <c r="A41" s="128" t="s">
        <v>393</v>
      </c>
      <c r="B41" s="160" t="b">
        <v>0</v>
      </c>
      <c r="C41" s="159" t="b">
        <v>0</v>
      </c>
      <c r="D41" s="141" t="b">
        <v>0</v>
      </c>
      <c r="E41" s="165" t="s">
        <v>234</v>
      </c>
      <c r="F41" s="164" t="b">
        <v>0</v>
      </c>
      <c r="G41" s="164" t="b">
        <v>0</v>
      </c>
      <c r="H41" s="204" t="b">
        <v>0</v>
      </c>
    </row>
    <row r="42" spans="1:9" x14ac:dyDescent="0.2">
      <c r="A42" s="242" t="s">
        <v>398</v>
      </c>
      <c r="B42" s="242"/>
      <c r="C42" s="242"/>
      <c r="D42" s="141" t="b">
        <v>0</v>
      </c>
      <c r="E42" s="165"/>
      <c r="F42" s="164"/>
      <c r="G42" s="164"/>
      <c r="H42" s="205"/>
    </row>
    <row r="43" spans="1:9" ht="28.75" customHeight="1" x14ac:dyDescent="0.2">
      <c r="A43" s="128" t="s">
        <v>397</v>
      </c>
      <c r="B43" s="177"/>
      <c r="C43" s="178"/>
      <c r="D43" s="141" t="b">
        <v>0</v>
      </c>
      <c r="E43" s="129" t="s">
        <v>245</v>
      </c>
      <c r="F43" s="212"/>
      <c r="G43" s="213"/>
      <c r="H43" s="214"/>
    </row>
    <row r="44" spans="1:9" ht="16" thickBot="1" x14ac:dyDescent="0.25">
      <c r="D44" s="141" t="b">
        <v>0</v>
      </c>
      <c r="E44" s="165" t="s">
        <v>222</v>
      </c>
      <c r="F44" s="164" t="b">
        <v>0</v>
      </c>
      <c r="G44" s="164" t="b">
        <v>0</v>
      </c>
      <c r="H44" s="204" t="b">
        <v>0</v>
      </c>
    </row>
    <row r="45" spans="1:9" ht="15" customHeight="1" x14ac:dyDescent="0.2">
      <c r="A45" s="224" t="s">
        <v>99</v>
      </c>
      <c r="B45" s="225"/>
      <c r="C45" s="226"/>
      <c r="E45" s="165"/>
      <c r="F45" s="164"/>
      <c r="G45" s="164"/>
      <c r="H45" s="205"/>
    </row>
    <row r="46" spans="1:9" ht="17" thickBot="1" x14ac:dyDescent="0.25">
      <c r="A46" s="90" t="s">
        <v>199</v>
      </c>
      <c r="B46" s="91"/>
      <c r="C46" s="92"/>
      <c r="E46" s="165" t="s">
        <v>229</v>
      </c>
      <c r="F46" s="164" t="b">
        <v>0</v>
      </c>
      <c r="G46" s="164" t="b">
        <v>0</v>
      </c>
      <c r="H46" s="204" t="b">
        <v>0</v>
      </c>
    </row>
    <row r="47" spans="1:9" ht="14.5" customHeight="1" x14ac:dyDescent="0.2">
      <c r="A47" s="227"/>
      <c r="B47" s="227"/>
      <c r="C47" s="228"/>
      <c r="E47" s="165"/>
      <c r="F47" s="164"/>
      <c r="G47" s="164"/>
      <c r="H47" s="205"/>
    </row>
    <row r="48" spans="1:9" ht="14.5" customHeight="1" x14ac:dyDescent="0.2">
      <c r="A48" s="229"/>
      <c r="B48" s="229"/>
      <c r="C48" s="230"/>
      <c r="E48" s="165" t="s">
        <v>251</v>
      </c>
      <c r="F48" s="206"/>
      <c r="G48" s="207"/>
      <c r="H48" s="208"/>
    </row>
    <row r="49" spans="1:9" ht="14.5" customHeight="1" x14ac:dyDescent="0.2">
      <c r="A49" s="229"/>
      <c r="B49" s="229"/>
      <c r="C49" s="230"/>
      <c r="E49" s="165"/>
      <c r="F49" s="209"/>
      <c r="G49" s="210"/>
      <c r="H49" s="211"/>
    </row>
    <row r="50" spans="1:9" ht="14.5" customHeight="1" x14ac:dyDescent="0.2">
      <c r="A50" s="229"/>
      <c r="B50" s="229"/>
      <c r="C50" s="230"/>
    </row>
    <row r="51" spans="1:9" ht="14.5" customHeight="1" x14ac:dyDescent="0.2">
      <c r="A51" s="229"/>
      <c r="B51" s="229"/>
      <c r="C51" s="230"/>
      <c r="E51" s="188" t="s">
        <v>35</v>
      </c>
      <c r="F51" s="188"/>
      <c r="G51" s="188"/>
    </row>
    <row r="52" spans="1:9" ht="14.5" customHeight="1" x14ac:dyDescent="0.2">
      <c r="A52" s="229"/>
      <c r="B52" s="229"/>
      <c r="C52" s="230"/>
      <c r="E52" s="44" t="s">
        <v>54</v>
      </c>
      <c r="F52" s="96"/>
      <c r="G52" s="8">
        <v>0</v>
      </c>
    </row>
    <row r="53" spans="1:9" ht="14.5" customHeight="1" x14ac:dyDescent="0.2">
      <c r="A53" s="229"/>
      <c r="B53" s="229"/>
      <c r="C53" s="230"/>
      <c r="E53" s="44" t="s">
        <v>53</v>
      </c>
      <c r="F53" s="96"/>
      <c r="G53" s="8">
        <v>1</v>
      </c>
      <c r="H53" s="51"/>
    </row>
    <row r="54" spans="1:9" ht="14.5" customHeight="1" x14ac:dyDescent="0.2">
      <c r="A54" s="229"/>
      <c r="B54" s="229"/>
      <c r="C54" s="230"/>
      <c r="E54" s="165" t="s">
        <v>134</v>
      </c>
      <c r="F54" s="165"/>
      <c r="G54" s="202" t="s">
        <v>132</v>
      </c>
    </row>
    <row r="55" spans="1:9" ht="14.5" customHeight="1" x14ac:dyDescent="0.2">
      <c r="A55" s="229"/>
      <c r="B55" s="229"/>
      <c r="C55" s="230"/>
      <c r="E55" s="165"/>
      <c r="F55" s="165"/>
      <c r="G55" s="202"/>
    </row>
    <row r="56" spans="1:9" ht="14.5" customHeight="1" x14ac:dyDescent="0.2">
      <c r="A56" s="229"/>
      <c r="B56" s="229"/>
      <c r="C56" s="230"/>
    </row>
    <row r="57" spans="1:9" ht="14.5" customHeight="1" thickBot="1" x14ac:dyDescent="0.25">
      <c r="A57" s="231"/>
      <c r="B57" s="231"/>
      <c r="C57" s="232"/>
      <c r="E57" s="188" t="s">
        <v>108</v>
      </c>
      <c r="F57" s="188"/>
      <c r="G57" s="188"/>
    </row>
    <row r="58" spans="1:9" ht="14.5" customHeight="1" thickBot="1" x14ac:dyDescent="0.25">
      <c r="E58" s="201" t="s">
        <v>223</v>
      </c>
      <c r="F58" s="201"/>
      <c r="G58" s="95"/>
    </row>
    <row r="59" spans="1:9" ht="14.5" customHeight="1" thickBot="1" x14ac:dyDescent="0.25">
      <c r="A59" s="233" t="s">
        <v>200</v>
      </c>
      <c r="B59" s="234"/>
      <c r="C59" s="235"/>
      <c r="E59" s="201" t="s">
        <v>224</v>
      </c>
      <c r="F59" s="201"/>
      <c r="G59" s="95"/>
    </row>
    <row r="60" spans="1:9" x14ac:dyDescent="0.2">
      <c r="A60" s="236" t="s">
        <v>237</v>
      </c>
      <c r="B60" s="237"/>
      <c r="C60" s="238"/>
      <c r="E60" s="201" t="s">
        <v>225</v>
      </c>
      <c r="F60" s="201"/>
      <c r="G60" s="95"/>
      <c r="I60" s="67"/>
    </row>
    <row r="61" spans="1:9" x14ac:dyDescent="0.2">
      <c r="A61" s="215"/>
      <c r="B61" s="216"/>
      <c r="C61" s="217"/>
      <c r="I61" s="67"/>
    </row>
    <row r="62" spans="1:9" ht="14.5" customHeight="1" x14ac:dyDescent="0.2">
      <c r="A62" s="215"/>
      <c r="B62" s="216"/>
      <c r="C62" s="217"/>
      <c r="E62" s="174" t="s">
        <v>95</v>
      </c>
      <c r="F62" s="176"/>
      <c r="I62" s="67"/>
    </row>
    <row r="63" spans="1:9" ht="14.5" customHeight="1" x14ac:dyDescent="0.2">
      <c r="A63" s="239" t="s">
        <v>238</v>
      </c>
      <c r="B63" s="240"/>
      <c r="C63" s="241"/>
      <c r="E63" s="120" t="s">
        <v>102</v>
      </c>
      <c r="F63" s="161" t="b">
        <v>0</v>
      </c>
      <c r="I63" s="41"/>
    </row>
    <row r="64" spans="1:9" ht="14.5" customHeight="1" x14ac:dyDescent="0.2">
      <c r="A64" s="215"/>
      <c r="B64" s="216"/>
      <c r="C64" s="217"/>
      <c r="E64" s="120" t="s">
        <v>106</v>
      </c>
      <c r="F64" s="161" t="b">
        <v>0</v>
      </c>
    </row>
    <row r="65" spans="1:7" ht="14.5" customHeight="1" thickBot="1" x14ac:dyDescent="0.25">
      <c r="A65" s="221"/>
      <c r="B65" s="222"/>
      <c r="C65" s="223"/>
    </row>
    <row r="66" spans="1:7" ht="14.5" customHeight="1" x14ac:dyDescent="0.2">
      <c r="A66" s="243" t="s">
        <v>239</v>
      </c>
      <c r="B66" s="244"/>
      <c r="C66" s="245"/>
      <c r="E66" s="199" t="s">
        <v>103</v>
      </c>
      <c r="F66" s="199"/>
      <c r="G66" s="199"/>
    </row>
    <row r="67" spans="1:7" ht="14.5" customHeight="1" x14ac:dyDescent="0.2">
      <c r="A67" s="215"/>
      <c r="B67" s="216"/>
      <c r="C67" s="217"/>
      <c r="E67" s="199"/>
      <c r="F67" s="199"/>
      <c r="G67" s="199"/>
    </row>
    <row r="68" spans="1:7" ht="14.5" customHeight="1" x14ac:dyDescent="0.2">
      <c r="A68" s="215"/>
      <c r="B68" s="216"/>
      <c r="C68" s="217"/>
    </row>
    <row r="69" spans="1:7" ht="14.5" customHeight="1" x14ac:dyDescent="0.2">
      <c r="A69" s="218" t="s">
        <v>240</v>
      </c>
      <c r="B69" s="219"/>
      <c r="C69" s="220"/>
      <c r="E69" s="200" t="s">
        <v>221</v>
      </c>
      <c r="F69" s="200"/>
    </row>
    <row r="70" spans="1:7" ht="14.5" customHeight="1" x14ac:dyDescent="0.2">
      <c r="A70" s="215"/>
      <c r="B70" s="216"/>
      <c r="C70" s="217"/>
      <c r="E70" s="200"/>
      <c r="F70" s="200"/>
    </row>
    <row r="71" spans="1:7" ht="14.5" customHeight="1" thickBot="1" x14ac:dyDescent="0.25">
      <c r="A71" s="221"/>
      <c r="B71" s="222"/>
      <c r="C71" s="223"/>
      <c r="E71" s="193"/>
      <c r="F71" s="194"/>
    </row>
    <row r="72" spans="1:7" ht="14.5" customHeight="1" x14ac:dyDescent="0.2">
      <c r="A72" s="236" t="s">
        <v>241</v>
      </c>
      <c r="B72" s="237"/>
      <c r="C72" s="238"/>
      <c r="E72" s="195"/>
      <c r="F72" s="196"/>
    </row>
    <row r="73" spans="1:7" ht="14.5" customHeight="1" x14ac:dyDescent="0.2">
      <c r="A73" s="215"/>
      <c r="B73" s="216"/>
      <c r="C73" s="217"/>
      <c r="E73" s="195"/>
      <c r="F73" s="196"/>
    </row>
    <row r="74" spans="1:7" ht="14.5" customHeight="1" x14ac:dyDescent="0.2">
      <c r="A74" s="215"/>
      <c r="B74" s="216"/>
      <c r="C74" s="217"/>
      <c r="E74" s="195"/>
      <c r="F74" s="196"/>
    </row>
    <row r="75" spans="1:7" ht="18" customHeight="1" x14ac:dyDescent="0.2">
      <c r="A75" s="239" t="s">
        <v>242</v>
      </c>
      <c r="B75" s="240"/>
      <c r="C75" s="241"/>
      <c r="E75" s="195"/>
      <c r="F75" s="196"/>
    </row>
    <row r="76" spans="1:7" ht="16.75" customHeight="1" x14ac:dyDescent="0.2">
      <c r="A76" s="215"/>
      <c r="B76" s="216"/>
      <c r="C76" s="217"/>
      <c r="E76" s="195"/>
      <c r="F76" s="196"/>
    </row>
    <row r="77" spans="1:7" ht="16" thickBot="1" x14ac:dyDescent="0.25">
      <c r="A77" s="221"/>
      <c r="B77" s="222"/>
      <c r="C77" s="223"/>
      <c r="E77" s="197"/>
      <c r="F77" s="198"/>
    </row>
    <row r="78" spans="1:7" ht="15.5" customHeight="1" x14ac:dyDescent="0.2">
      <c r="A78" s="243" t="s">
        <v>244</v>
      </c>
      <c r="B78" s="244"/>
      <c r="C78" s="245"/>
    </row>
    <row r="79" spans="1:7" x14ac:dyDescent="0.2">
      <c r="A79" s="215"/>
      <c r="B79" s="216"/>
      <c r="C79" s="217"/>
    </row>
    <row r="80" spans="1:7" x14ac:dyDescent="0.2">
      <c r="A80" s="215"/>
      <c r="B80" s="216"/>
      <c r="C80" s="217"/>
    </row>
    <row r="81" spans="1:3" x14ac:dyDescent="0.2">
      <c r="A81" s="218" t="s">
        <v>243</v>
      </c>
      <c r="B81" s="219"/>
      <c r="C81" s="220"/>
    </row>
    <row r="82" spans="1:3" x14ac:dyDescent="0.2">
      <c r="A82" s="215"/>
      <c r="B82" s="216"/>
      <c r="C82" s="217"/>
    </row>
    <row r="83" spans="1:3" ht="16" thickBot="1" x14ac:dyDescent="0.25">
      <c r="A83" s="221"/>
      <c r="B83" s="222"/>
      <c r="C83" s="223"/>
    </row>
  </sheetData>
  <sheetProtection insertHyperlinks="0" deleteColumns="0" deleteRows="0"/>
  <mergeCells count="87">
    <mergeCell ref="A42:C42"/>
    <mergeCell ref="B43:C43"/>
    <mergeCell ref="A78:C78"/>
    <mergeCell ref="A66:C66"/>
    <mergeCell ref="A67:C68"/>
    <mergeCell ref="A79:C80"/>
    <mergeCell ref="A81:C81"/>
    <mergeCell ref="A82:C83"/>
    <mergeCell ref="A45:C45"/>
    <mergeCell ref="A47:C57"/>
    <mergeCell ref="A59:C59"/>
    <mergeCell ref="A60:C60"/>
    <mergeCell ref="A61:C62"/>
    <mergeCell ref="A69:C69"/>
    <mergeCell ref="A70:C71"/>
    <mergeCell ref="A72:C72"/>
    <mergeCell ref="A73:C74"/>
    <mergeCell ref="A75:C75"/>
    <mergeCell ref="A76:C77"/>
    <mergeCell ref="A63:C63"/>
    <mergeCell ref="A64:C65"/>
    <mergeCell ref="E57:G57"/>
    <mergeCell ref="G54:G55"/>
    <mergeCell ref="E51:G51"/>
    <mergeCell ref="F34:G34"/>
    <mergeCell ref="H41:H42"/>
    <mergeCell ref="H44:H45"/>
    <mergeCell ref="H46:H47"/>
    <mergeCell ref="F48:H49"/>
    <mergeCell ref="F43:H43"/>
    <mergeCell ref="E54:F55"/>
    <mergeCell ref="E48:E49"/>
    <mergeCell ref="E46:E47"/>
    <mergeCell ref="F46:F47"/>
    <mergeCell ref="G46:G47"/>
    <mergeCell ref="E44:E45"/>
    <mergeCell ref="F44:F45"/>
    <mergeCell ref="E71:F77"/>
    <mergeCell ref="E66:G67"/>
    <mergeCell ref="E69:F70"/>
    <mergeCell ref="E62:F62"/>
    <mergeCell ref="E58:F58"/>
    <mergeCell ref="E59:F59"/>
    <mergeCell ref="E60:F60"/>
    <mergeCell ref="A34:A35"/>
    <mergeCell ref="B34:B35"/>
    <mergeCell ref="C34:C35"/>
    <mergeCell ref="B29:C29"/>
    <mergeCell ref="B30:C30"/>
    <mergeCell ref="F8:G8"/>
    <mergeCell ref="F9:G9"/>
    <mergeCell ref="B8:C8"/>
    <mergeCell ref="B9:C9"/>
    <mergeCell ref="F29:G29"/>
    <mergeCell ref="E27:G27"/>
    <mergeCell ref="F28:G28"/>
    <mergeCell ref="B27:C27"/>
    <mergeCell ref="B28:C28"/>
    <mergeCell ref="B16:C16"/>
    <mergeCell ref="B17:C17"/>
    <mergeCell ref="A20:C20"/>
    <mergeCell ref="A26:C26"/>
    <mergeCell ref="B24:C24"/>
    <mergeCell ref="B22:C22"/>
    <mergeCell ref="B23:C23"/>
    <mergeCell ref="B10:C10"/>
    <mergeCell ref="B12:C12"/>
    <mergeCell ref="B15:C15"/>
    <mergeCell ref="A4:C5"/>
    <mergeCell ref="B7:C7"/>
    <mergeCell ref="B6:C6"/>
    <mergeCell ref="B21:C21"/>
    <mergeCell ref="B14:C14"/>
    <mergeCell ref="B13:C13"/>
    <mergeCell ref="E13:G13"/>
    <mergeCell ref="E12:G12"/>
    <mergeCell ref="F19:G19"/>
    <mergeCell ref="E14:G14"/>
    <mergeCell ref="G44:G45"/>
    <mergeCell ref="E41:E42"/>
    <mergeCell ref="F41:F42"/>
    <mergeCell ref="G41:G42"/>
    <mergeCell ref="F10:G10"/>
    <mergeCell ref="F30:G30"/>
    <mergeCell ref="F32:G32"/>
    <mergeCell ref="F31:G31"/>
    <mergeCell ref="F33:G33"/>
  </mergeCells>
  <dataValidations disablePrompts="1" count="1">
    <dataValidation type="list" allowBlank="1" showInputMessage="1" showErrorMessage="1" sqref="E14:G14" xr:uid="{416024FD-4339-48EB-A76E-DB89A1B2BD31}">
      <formula1>"Audit sur site,Audit à distance"</formula1>
    </dataValidation>
  </dataValidations>
  <hyperlinks>
    <hyperlink ref="A4" r:id="rId1" display="https://travail-emploi.gouv.fr/demarches-ressources-documentaires/documentation-et-publications-officielles/guides/guide-referentiel-national-qualite" xr:uid="{2D4DEBF9-2D3D-447A-A9AC-E93F991557C5}"/>
    <hyperlink ref="A4:C5" r:id="rId2" tooltip="Guide référentiel national qualite" display="Guide référentiel national qualité" xr:uid="{DE7837D9-B2C2-45B4-A8DE-6AE03EC6464C}"/>
  </hyperlinks>
  <pageMargins left="0.7" right="0.7" top="0.60333333333333339" bottom="0.75" header="0.3" footer="0.3"/>
  <pageSetup paperSize="9" scale="44" orientation="landscape" r:id="rId3"/>
  <drawing r:id="rId4"/>
  <legacyDrawing r:id="rId5"/>
  <mc:AlternateContent xmlns:mc="http://schemas.openxmlformats.org/markup-compatibility/2006">
    <mc:Choice Requires="x14">
      <controls>
        <mc:AlternateContent xmlns:mc="http://schemas.openxmlformats.org/markup-compatibility/2006">
          <mc:Choice Requires="x14">
            <control shapeId="1066" r:id="rId6" name="Check Box 42">
              <controlPr defaultSize="0" autoFill="0" autoLine="0" autoPict="0">
                <anchor moveWithCells="1">
                  <from>
                    <xdr:col>5</xdr:col>
                    <xdr:colOff>457200</xdr:colOff>
                    <xdr:row>20</xdr:row>
                    <xdr:rowOff>177800</xdr:rowOff>
                  </from>
                  <to>
                    <xdr:col>5</xdr:col>
                    <xdr:colOff>673100</xdr:colOff>
                    <xdr:row>22</xdr:row>
                    <xdr:rowOff>25400</xdr:rowOff>
                  </to>
                </anchor>
              </controlPr>
            </control>
          </mc:Choice>
        </mc:AlternateContent>
        <mc:AlternateContent xmlns:mc="http://schemas.openxmlformats.org/markup-compatibility/2006">
          <mc:Choice Requires="x14">
            <control shapeId="1067" r:id="rId7" name="Check Box 43">
              <controlPr defaultSize="0" autoFill="0" autoLine="0" autoPict="0">
                <anchor moveWithCells="1">
                  <from>
                    <xdr:col>5</xdr:col>
                    <xdr:colOff>457200</xdr:colOff>
                    <xdr:row>22</xdr:row>
                    <xdr:rowOff>241300</xdr:rowOff>
                  </from>
                  <to>
                    <xdr:col>5</xdr:col>
                    <xdr:colOff>673100</xdr:colOff>
                    <xdr:row>24</xdr:row>
                    <xdr:rowOff>25400</xdr:rowOff>
                  </to>
                </anchor>
              </controlPr>
            </control>
          </mc:Choice>
        </mc:AlternateContent>
        <mc:AlternateContent xmlns:mc="http://schemas.openxmlformats.org/markup-compatibility/2006">
          <mc:Choice Requires="x14">
            <control shapeId="1068" r:id="rId8" name="Check Box 44">
              <controlPr defaultSize="0" autoFill="0" autoLine="0" autoPict="0">
                <anchor moveWithCells="1">
                  <from>
                    <xdr:col>5</xdr:col>
                    <xdr:colOff>457200</xdr:colOff>
                    <xdr:row>24</xdr:row>
                    <xdr:rowOff>12700</xdr:rowOff>
                  </from>
                  <to>
                    <xdr:col>5</xdr:col>
                    <xdr:colOff>774700</xdr:colOff>
                    <xdr:row>25</xdr:row>
                    <xdr:rowOff>12700</xdr:rowOff>
                  </to>
                </anchor>
              </controlPr>
            </control>
          </mc:Choice>
        </mc:AlternateContent>
        <mc:AlternateContent xmlns:mc="http://schemas.openxmlformats.org/markup-compatibility/2006">
          <mc:Choice Requires="x14">
            <control shapeId="1069" r:id="rId9" name="Check Box 45">
              <controlPr defaultSize="0" autoFill="0" autoLine="0" autoPict="0">
                <anchor moveWithCells="1">
                  <from>
                    <xdr:col>6</xdr:col>
                    <xdr:colOff>558800</xdr:colOff>
                    <xdr:row>20</xdr:row>
                    <xdr:rowOff>165100</xdr:rowOff>
                  </from>
                  <to>
                    <xdr:col>6</xdr:col>
                    <xdr:colOff>774700</xdr:colOff>
                    <xdr:row>22</xdr:row>
                    <xdr:rowOff>0</xdr:rowOff>
                  </to>
                </anchor>
              </controlPr>
            </control>
          </mc:Choice>
        </mc:AlternateContent>
        <mc:AlternateContent xmlns:mc="http://schemas.openxmlformats.org/markup-compatibility/2006">
          <mc:Choice Requires="x14">
            <control shapeId="1070" r:id="rId10" name="Check Box 46">
              <controlPr defaultSize="0" autoFill="0" autoLine="0" autoPict="0">
                <anchor moveWithCells="1">
                  <from>
                    <xdr:col>6</xdr:col>
                    <xdr:colOff>558800</xdr:colOff>
                    <xdr:row>21</xdr:row>
                    <xdr:rowOff>165100</xdr:rowOff>
                  </from>
                  <to>
                    <xdr:col>6</xdr:col>
                    <xdr:colOff>774700</xdr:colOff>
                    <xdr:row>23</xdr:row>
                    <xdr:rowOff>12700</xdr:rowOff>
                  </to>
                </anchor>
              </controlPr>
            </control>
          </mc:Choice>
        </mc:AlternateContent>
        <mc:AlternateContent xmlns:mc="http://schemas.openxmlformats.org/markup-compatibility/2006">
          <mc:Choice Requires="x14">
            <control shapeId="1071" r:id="rId11" name="Check Box 47">
              <controlPr defaultSize="0" autoFill="0" autoLine="0" autoPict="0">
                <anchor moveWithCells="1">
                  <from>
                    <xdr:col>6</xdr:col>
                    <xdr:colOff>558800</xdr:colOff>
                    <xdr:row>22</xdr:row>
                    <xdr:rowOff>241300</xdr:rowOff>
                  </from>
                  <to>
                    <xdr:col>6</xdr:col>
                    <xdr:colOff>774700</xdr:colOff>
                    <xdr:row>24</xdr:row>
                    <xdr:rowOff>25400</xdr:rowOff>
                  </to>
                </anchor>
              </controlPr>
            </control>
          </mc:Choice>
        </mc:AlternateContent>
        <mc:AlternateContent xmlns:mc="http://schemas.openxmlformats.org/markup-compatibility/2006">
          <mc:Choice Requires="x14">
            <control shapeId="1072" r:id="rId12" name="Check Box 48">
              <controlPr defaultSize="0" autoFill="0" autoLine="0" autoPict="0">
                <anchor moveWithCells="1">
                  <from>
                    <xdr:col>6</xdr:col>
                    <xdr:colOff>558800</xdr:colOff>
                    <xdr:row>24</xdr:row>
                    <xdr:rowOff>0</xdr:rowOff>
                  </from>
                  <to>
                    <xdr:col>6</xdr:col>
                    <xdr:colOff>762000</xdr:colOff>
                    <xdr:row>24</xdr:row>
                    <xdr:rowOff>215900</xdr:rowOff>
                  </to>
                </anchor>
              </controlPr>
            </control>
          </mc:Choice>
        </mc:AlternateContent>
        <mc:AlternateContent xmlns:mc="http://schemas.openxmlformats.org/markup-compatibility/2006">
          <mc:Choice Requires="x14">
            <control shapeId="1073" r:id="rId13" name="Check Box 49">
              <controlPr defaultSize="0" autoFill="0" autoLine="0" autoPict="0">
                <anchor moveWithCells="1">
                  <from>
                    <xdr:col>6</xdr:col>
                    <xdr:colOff>558800</xdr:colOff>
                    <xdr:row>36</xdr:row>
                    <xdr:rowOff>12700</xdr:rowOff>
                  </from>
                  <to>
                    <xdr:col>6</xdr:col>
                    <xdr:colOff>774700</xdr:colOff>
                    <xdr:row>36</xdr:row>
                    <xdr:rowOff>215900</xdr:rowOff>
                  </to>
                </anchor>
              </controlPr>
            </control>
          </mc:Choice>
        </mc:AlternateContent>
        <mc:AlternateContent xmlns:mc="http://schemas.openxmlformats.org/markup-compatibility/2006">
          <mc:Choice Requires="x14">
            <control shapeId="1074" r:id="rId14" name="Check Box 50">
              <controlPr defaultSize="0" autoFill="0" autoLine="0" autoPict="0">
                <anchor moveWithCells="1">
                  <from>
                    <xdr:col>5</xdr:col>
                    <xdr:colOff>482600</xdr:colOff>
                    <xdr:row>36</xdr:row>
                    <xdr:rowOff>12700</xdr:rowOff>
                  </from>
                  <to>
                    <xdr:col>5</xdr:col>
                    <xdr:colOff>711200</xdr:colOff>
                    <xdr:row>37</xdr:row>
                    <xdr:rowOff>0</xdr:rowOff>
                  </to>
                </anchor>
              </controlPr>
            </control>
          </mc:Choice>
        </mc:AlternateContent>
        <mc:AlternateContent xmlns:mc="http://schemas.openxmlformats.org/markup-compatibility/2006">
          <mc:Choice Requires="x14">
            <control shapeId="1075" r:id="rId15" name="Check Box 51">
              <controlPr defaultSize="0" autoFill="0" autoLine="0" autoPict="0">
                <anchor moveWithCells="1">
                  <from>
                    <xdr:col>6</xdr:col>
                    <xdr:colOff>38100</xdr:colOff>
                    <xdr:row>26</xdr:row>
                    <xdr:rowOff>215900</xdr:rowOff>
                  </from>
                  <to>
                    <xdr:col>6</xdr:col>
                    <xdr:colOff>266700</xdr:colOff>
                    <xdr:row>27</xdr:row>
                    <xdr:rowOff>190500</xdr:rowOff>
                  </to>
                </anchor>
              </controlPr>
            </control>
          </mc:Choice>
        </mc:AlternateContent>
        <mc:AlternateContent xmlns:mc="http://schemas.openxmlformats.org/markup-compatibility/2006">
          <mc:Choice Requires="x14">
            <control shapeId="1076" r:id="rId16" name="Check Box 52">
              <controlPr defaultSize="0" autoFill="0" autoLine="0" autoPict="0">
                <anchor moveWithCells="1">
                  <from>
                    <xdr:col>6</xdr:col>
                    <xdr:colOff>38100</xdr:colOff>
                    <xdr:row>28</xdr:row>
                    <xdr:rowOff>0</xdr:rowOff>
                  </from>
                  <to>
                    <xdr:col>6</xdr:col>
                    <xdr:colOff>304800</xdr:colOff>
                    <xdr:row>28</xdr:row>
                    <xdr:rowOff>203200</xdr:rowOff>
                  </to>
                </anchor>
              </controlPr>
            </control>
          </mc:Choice>
        </mc:AlternateContent>
        <mc:AlternateContent xmlns:mc="http://schemas.openxmlformats.org/markup-compatibility/2006">
          <mc:Choice Requires="x14">
            <control shapeId="1077" r:id="rId17" name="Check Box 53">
              <controlPr defaultSize="0" autoFill="0" autoLine="0" autoPict="0">
                <anchor moveWithCells="1">
                  <from>
                    <xdr:col>6</xdr:col>
                    <xdr:colOff>38100</xdr:colOff>
                    <xdr:row>29</xdr:row>
                    <xdr:rowOff>12700</xdr:rowOff>
                  </from>
                  <to>
                    <xdr:col>6</xdr:col>
                    <xdr:colOff>266700</xdr:colOff>
                    <xdr:row>29</xdr:row>
                    <xdr:rowOff>215900</xdr:rowOff>
                  </to>
                </anchor>
              </controlPr>
            </control>
          </mc:Choice>
        </mc:AlternateContent>
        <mc:AlternateContent xmlns:mc="http://schemas.openxmlformats.org/markup-compatibility/2006">
          <mc:Choice Requires="x14">
            <control shapeId="1078" r:id="rId18" name="Check Box 54">
              <controlPr defaultSize="0" autoFill="0" autoLine="0" autoPict="0">
                <anchor moveWithCells="1">
                  <from>
                    <xdr:col>6</xdr:col>
                    <xdr:colOff>38100</xdr:colOff>
                    <xdr:row>30</xdr:row>
                    <xdr:rowOff>12700</xdr:rowOff>
                  </from>
                  <to>
                    <xdr:col>6</xdr:col>
                    <xdr:colOff>266700</xdr:colOff>
                    <xdr:row>30</xdr:row>
                    <xdr:rowOff>215900</xdr:rowOff>
                  </to>
                </anchor>
              </controlPr>
            </control>
          </mc:Choice>
        </mc:AlternateContent>
        <mc:AlternateContent xmlns:mc="http://schemas.openxmlformats.org/markup-compatibility/2006">
          <mc:Choice Requires="x14">
            <control shapeId="1079" r:id="rId19" name="Check Box 55">
              <controlPr defaultSize="0" autoFill="0" autoLine="0" autoPict="0">
                <anchor moveWithCells="1">
                  <from>
                    <xdr:col>6</xdr:col>
                    <xdr:colOff>38100</xdr:colOff>
                    <xdr:row>30</xdr:row>
                    <xdr:rowOff>203200</xdr:rowOff>
                  </from>
                  <to>
                    <xdr:col>6</xdr:col>
                    <xdr:colOff>266700</xdr:colOff>
                    <xdr:row>32</xdr:row>
                    <xdr:rowOff>0</xdr:rowOff>
                  </to>
                </anchor>
              </controlPr>
            </control>
          </mc:Choice>
        </mc:AlternateContent>
        <mc:AlternateContent xmlns:mc="http://schemas.openxmlformats.org/markup-compatibility/2006">
          <mc:Choice Requires="x14">
            <control shapeId="1081" r:id="rId20" name="Check Box 57">
              <controlPr defaultSize="0" autoFill="0" autoLine="0" autoPict="0">
                <anchor moveWithCells="1">
                  <from>
                    <xdr:col>5</xdr:col>
                    <xdr:colOff>431800</xdr:colOff>
                    <xdr:row>15</xdr:row>
                    <xdr:rowOff>165100</xdr:rowOff>
                  </from>
                  <to>
                    <xdr:col>5</xdr:col>
                    <xdr:colOff>736600</xdr:colOff>
                    <xdr:row>17</xdr:row>
                    <xdr:rowOff>12700</xdr:rowOff>
                  </to>
                </anchor>
              </controlPr>
            </control>
          </mc:Choice>
        </mc:AlternateContent>
        <mc:AlternateContent xmlns:mc="http://schemas.openxmlformats.org/markup-compatibility/2006">
          <mc:Choice Requires="x14">
            <control shapeId="1082" r:id="rId21" name="Check Box 58">
              <controlPr defaultSize="0" autoFill="0" autoLine="0" autoPict="0">
                <anchor moveWithCells="1">
                  <from>
                    <xdr:col>5</xdr:col>
                    <xdr:colOff>431800</xdr:colOff>
                    <xdr:row>16</xdr:row>
                    <xdr:rowOff>165100</xdr:rowOff>
                  </from>
                  <to>
                    <xdr:col>5</xdr:col>
                    <xdr:colOff>647700</xdr:colOff>
                    <xdr:row>18</xdr:row>
                    <xdr:rowOff>50800</xdr:rowOff>
                  </to>
                </anchor>
              </controlPr>
            </control>
          </mc:Choice>
        </mc:AlternateContent>
        <mc:AlternateContent xmlns:mc="http://schemas.openxmlformats.org/markup-compatibility/2006">
          <mc:Choice Requires="x14">
            <control shapeId="1083" r:id="rId22" name="Check Box 59">
              <controlPr defaultSize="0" autoFill="0" autoLine="0" autoPict="0">
                <anchor moveWithCells="1">
                  <from>
                    <xdr:col>6</xdr:col>
                    <xdr:colOff>546100</xdr:colOff>
                    <xdr:row>15</xdr:row>
                    <xdr:rowOff>152400</xdr:rowOff>
                  </from>
                  <to>
                    <xdr:col>6</xdr:col>
                    <xdr:colOff>762000</xdr:colOff>
                    <xdr:row>17</xdr:row>
                    <xdr:rowOff>25400</xdr:rowOff>
                  </to>
                </anchor>
              </controlPr>
            </control>
          </mc:Choice>
        </mc:AlternateContent>
        <mc:AlternateContent xmlns:mc="http://schemas.openxmlformats.org/markup-compatibility/2006">
          <mc:Choice Requires="x14">
            <control shapeId="1084" r:id="rId23" name="Check Box 60">
              <controlPr defaultSize="0" autoFill="0" autoLine="0" autoPict="0">
                <anchor moveWithCells="1">
                  <from>
                    <xdr:col>6</xdr:col>
                    <xdr:colOff>546100</xdr:colOff>
                    <xdr:row>16</xdr:row>
                    <xdr:rowOff>165100</xdr:rowOff>
                  </from>
                  <to>
                    <xdr:col>6</xdr:col>
                    <xdr:colOff>774700</xdr:colOff>
                    <xdr:row>18</xdr:row>
                    <xdr:rowOff>25400</xdr:rowOff>
                  </to>
                </anchor>
              </controlPr>
            </control>
          </mc:Choice>
        </mc:AlternateContent>
        <mc:AlternateContent xmlns:mc="http://schemas.openxmlformats.org/markup-compatibility/2006">
          <mc:Choice Requires="x14">
            <control shapeId="1086" r:id="rId24" name="Check Box 62">
              <controlPr defaultSize="0" autoFill="0" autoLine="0" autoPict="0">
                <anchor moveWithCells="1">
                  <from>
                    <xdr:col>5</xdr:col>
                    <xdr:colOff>508000</xdr:colOff>
                    <xdr:row>61</xdr:row>
                    <xdr:rowOff>165100</xdr:rowOff>
                  </from>
                  <to>
                    <xdr:col>5</xdr:col>
                    <xdr:colOff>762000</xdr:colOff>
                    <xdr:row>63</xdr:row>
                    <xdr:rowOff>12700</xdr:rowOff>
                  </to>
                </anchor>
              </controlPr>
            </control>
          </mc:Choice>
        </mc:AlternateContent>
        <mc:AlternateContent xmlns:mc="http://schemas.openxmlformats.org/markup-compatibility/2006">
          <mc:Choice Requires="x14">
            <control shapeId="1087" r:id="rId25" name="Check Box 63">
              <controlPr defaultSize="0" autoFill="0" autoLine="0" autoPict="0">
                <anchor moveWithCells="1">
                  <from>
                    <xdr:col>5</xdr:col>
                    <xdr:colOff>508000</xdr:colOff>
                    <xdr:row>62</xdr:row>
                    <xdr:rowOff>165100</xdr:rowOff>
                  </from>
                  <to>
                    <xdr:col>5</xdr:col>
                    <xdr:colOff>774700</xdr:colOff>
                    <xdr:row>64</xdr:row>
                    <xdr:rowOff>25400</xdr:rowOff>
                  </to>
                </anchor>
              </controlPr>
            </control>
          </mc:Choice>
        </mc:AlternateContent>
        <mc:AlternateContent xmlns:mc="http://schemas.openxmlformats.org/markup-compatibility/2006">
          <mc:Choice Requires="x14">
            <control shapeId="1090" r:id="rId26" name="Check Box 66">
              <controlPr defaultSize="0" autoFill="0" autoLine="0" autoPict="0">
                <anchor moveWithCells="1">
                  <from>
                    <xdr:col>2</xdr:col>
                    <xdr:colOff>25400</xdr:colOff>
                    <xdr:row>7</xdr:row>
                    <xdr:rowOff>165100</xdr:rowOff>
                  </from>
                  <to>
                    <xdr:col>2</xdr:col>
                    <xdr:colOff>317500</xdr:colOff>
                    <xdr:row>9</xdr:row>
                    <xdr:rowOff>12700</xdr:rowOff>
                  </to>
                </anchor>
              </controlPr>
            </control>
          </mc:Choice>
        </mc:AlternateContent>
        <mc:AlternateContent xmlns:mc="http://schemas.openxmlformats.org/markup-compatibility/2006">
          <mc:Choice Requires="x14">
            <control shapeId="1091" r:id="rId27" name="Check Box 67">
              <controlPr defaultSize="0" autoFill="0" autoLine="0" autoPict="0">
                <anchor moveWithCells="1">
                  <from>
                    <xdr:col>2</xdr:col>
                    <xdr:colOff>12700</xdr:colOff>
                    <xdr:row>8</xdr:row>
                    <xdr:rowOff>139700</xdr:rowOff>
                  </from>
                  <to>
                    <xdr:col>2</xdr:col>
                    <xdr:colOff>355600</xdr:colOff>
                    <xdr:row>10</xdr:row>
                    <xdr:rowOff>25400</xdr:rowOff>
                  </to>
                </anchor>
              </controlPr>
            </control>
          </mc:Choice>
        </mc:AlternateContent>
        <mc:AlternateContent xmlns:mc="http://schemas.openxmlformats.org/markup-compatibility/2006">
          <mc:Choice Requires="x14">
            <control shapeId="1102" r:id="rId28" name="Check Box 78">
              <controlPr defaultSize="0" autoFill="0" autoLine="0" autoPict="0">
                <anchor moveWithCells="1">
                  <from>
                    <xdr:col>5</xdr:col>
                    <xdr:colOff>457200</xdr:colOff>
                    <xdr:row>39</xdr:row>
                    <xdr:rowOff>88900</xdr:rowOff>
                  </from>
                  <to>
                    <xdr:col>5</xdr:col>
                    <xdr:colOff>736600</xdr:colOff>
                    <xdr:row>39</xdr:row>
                    <xdr:rowOff>279400</xdr:rowOff>
                  </to>
                </anchor>
              </controlPr>
            </control>
          </mc:Choice>
        </mc:AlternateContent>
        <mc:AlternateContent xmlns:mc="http://schemas.openxmlformats.org/markup-compatibility/2006">
          <mc:Choice Requires="x14">
            <control shapeId="1103" r:id="rId29" name="Check Box 79">
              <controlPr defaultSize="0" autoFill="0" autoLine="0" autoPict="0">
                <anchor moveWithCells="1">
                  <from>
                    <xdr:col>6</xdr:col>
                    <xdr:colOff>546100</xdr:colOff>
                    <xdr:row>39</xdr:row>
                    <xdr:rowOff>76200</xdr:rowOff>
                  </from>
                  <to>
                    <xdr:col>6</xdr:col>
                    <xdr:colOff>825500</xdr:colOff>
                    <xdr:row>39</xdr:row>
                    <xdr:rowOff>279400</xdr:rowOff>
                  </to>
                </anchor>
              </controlPr>
            </control>
          </mc:Choice>
        </mc:AlternateContent>
        <mc:AlternateContent xmlns:mc="http://schemas.openxmlformats.org/markup-compatibility/2006">
          <mc:Choice Requires="x14">
            <control shapeId="1105" r:id="rId30" name="Check Box 81">
              <controlPr defaultSize="0" autoFill="0" autoLine="0" autoPict="0">
                <anchor moveWithCells="1">
                  <from>
                    <xdr:col>5</xdr:col>
                    <xdr:colOff>457200</xdr:colOff>
                    <xdr:row>40</xdr:row>
                    <xdr:rowOff>76200</xdr:rowOff>
                  </from>
                  <to>
                    <xdr:col>6</xdr:col>
                    <xdr:colOff>330200</xdr:colOff>
                    <xdr:row>40</xdr:row>
                    <xdr:rowOff>292100</xdr:rowOff>
                  </to>
                </anchor>
              </controlPr>
            </control>
          </mc:Choice>
        </mc:AlternateContent>
        <mc:AlternateContent xmlns:mc="http://schemas.openxmlformats.org/markup-compatibility/2006">
          <mc:Choice Requires="x14">
            <control shapeId="1106" r:id="rId31" name="Check Box 82">
              <controlPr defaultSize="0" autoFill="0" autoLine="0" autoPict="0">
                <anchor moveWithCells="1">
                  <from>
                    <xdr:col>6</xdr:col>
                    <xdr:colOff>546100</xdr:colOff>
                    <xdr:row>40</xdr:row>
                    <xdr:rowOff>88900</xdr:rowOff>
                  </from>
                  <to>
                    <xdr:col>7</xdr:col>
                    <xdr:colOff>279400</xdr:colOff>
                    <xdr:row>40</xdr:row>
                    <xdr:rowOff>279400</xdr:rowOff>
                  </to>
                </anchor>
              </controlPr>
            </control>
          </mc:Choice>
        </mc:AlternateContent>
        <mc:AlternateContent xmlns:mc="http://schemas.openxmlformats.org/markup-compatibility/2006">
          <mc:Choice Requires="x14">
            <control shapeId="1112" r:id="rId32" name="Check Box 88">
              <controlPr defaultSize="0" autoFill="0" autoLine="0" autoPict="0">
                <anchor moveWithCells="1">
                  <from>
                    <xdr:col>5</xdr:col>
                    <xdr:colOff>482600</xdr:colOff>
                    <xdr:row>43</xdr:row>
                    <xdr:rowOff>76200</xdr:rowOff>
                  </from>
                  <to>
                    <xdr:col>5</xdr:col>
                    <xdr:colOff>762000</xdr:colOff>
                    <xdr:row>44</xdr:row>
                    <xdr:rowOff>114300</xdr:rowOff>
                  </to>
                </anchor>
              </controlPr>
            </control>
          </mc:Choice>
        </mc:AlternateContent>
        <mc:AlternateContent xmlns:mc="http://schemas.openxmlformats.org/markup-compatibility/2006">
          <mc:Choice Requires="x14">
            <control shapeId="1114" r:id="rId33" name="Check Box 90">
              <controlPr defaultSize="0" autoFill="0" autoLine="0" autoPict="0">
                <anchor moveWithCells="1">
                  <from>
                    <xdr:col>6</xdr:col>
                    <xdr:colOff>558800</xdr:colOff>
                    <xdr:row>43</xdr:row>
                    <xdr:rowOff>101600</xdr:rowOff>
                  </from>
                  <to>
                    <xdr:col>6</xdr:col>
                    <xdr:colOff>863600</xdr:colOff>
                    <xdr:row>44</xdr:row>
                    <xdr:rowOff>101600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5</xdr:col>
                    <xdr:colOff>482600</xdr:colOff>
                    <xdr:row>45</xdr:row>
                    <xdr:rowOff>76200</xdr:rowOff>
                  </from>
                  <to>
                    <xdr:col>6</xdr:col>
                    <xdr:colOff>355600</xdr:colOff>
                    <xdr:row>46</xdr:row>
                    <xdr:rowOff>88900</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6</xdr:col>
                    <xdr:colOff>571500</xdr:colOff>
                    <xdr:row>45</xdr:row>
                    <xdr:rowOff>101600</xdr:rowOff>
                  </from>
                  <to>
                    <xdr:col>6</xdr:col>
                    <xdr:colOff>850900</xdr:colOff>
                    <xdr:row>46</xdr:row>
                    <xdr:rowOff>63500</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7</xdr:col>
                    <xdr:colOff>558800</xdr:colOff>
                    <xdr:row>39</xdr:row>
                    <xdr:rowOff>76200</xdr:rowOff>
                  </from>
                  <to>
                    <xdr:col>7</xdr:col>
                    <xdr:colOff>850900</xdr:colOff>
                    <xdr:row>39</xdr:row>
                    <xdr:rowOff>279400</xdr:rowOff>
                  </to>
                </anchor>
              </controlPr>
            </control>
          </mc:Choice>
        </mc:AlternateContent>
        <mc:AlternateContent xmlns:mc="http://schemas.openxmlformats.org/markup-compatibility/2006">
          <mc:Choice Requires="x14">
            <control shapeId="1119" r:id="rId37" name="Check Box 95">
              <controlPr defaultSize="0" autoFill="0" autoLine="0" autoPict="0">
                <anchor moveWithCells="1">
                  <from>
                    <xdr:col>7</xdr:col>
                    <xdr:colOff>546100</xdr:colOff>
                    <xdr:row>36</xdr:row>
                    <xdr:rowOff>12700</xdr:rowOff>
                  </from>
                  <to>
                    <xdr:col>7</xdr:col>
                    <xdr:colOff>762000</xdr:colOff>
                    <xdr:row>36</xdr:row>
                    <xdr:rowOff>215900</xdr:rowOff>
                  </to>
                </anchor>
              </controlPr>
            </control>
          </mc:Choice>
        </mc:AlternateContent>
        <mc:AlternateContent xmlns:mc="http://schemas.openxmlformats.org/markup-compatibility/2006">
          <mc:Choice Requires="x14">
            <control shapeId="1120" r:id="rId38" name="Check Box 96">
              <controlPr defaultSize="0" autoFill="0" autoLine="0" autoPict="0">
                <anchor moveWithCells="1">
                  <from>
                    <xdr:col>7</xdr:col>
                    <xdr:colOff>558800</xdr:colOff>
                    <xdr:row>40</xdr:row>
                    <xdr:rowOff>63500</xdr:rowOff>
                  </from>
                  <to>
                    <xdr:col>7</xdr:col>
                    <xdr:colOff>850900</xdr:colOff>
                    <xdr:row>40</xdr:row>
                    <xdr:rowOff>266700</xdr:rowOff>
                  </to>
                </anchor>
              </controlPr>
            </control>
          </mc:Choice>
        </mc:AlternateContent>
        <mc:AlternateContent xmlns:mc="http://schemas.openxmlformats.org/markup-compatibility/2006">
          <mc:Choice Requires="x14">
            <control shapeId="1121" r:id="rId39" name="Check Box 97">
              <controlPr defaultSize="0" autoFill="0" autoLine="0" autoPict="0">
                <anchor moveWithCells="1">
                  <from>
                    <xdr:col>7</xdr:col>
                    <xdr:colOff>546100</xdr:colOff>
                    <xdr:row>43</xdr:row>
                    <xdr:rowOff>76200</xdr:rowOff>
                  </from>
                  <to>
                    <xdr:col>7</xdr:col>
                    <xdr:colOff>825500</xdr:colOff>
                    <xdr:row>44</xdr:row>
                    <xdr:rowOff>88900</xdr:rowOff>
                  </to>
                </anchor>
              </controlPr>
            </control>
          </mc:Choice>
        </mc:AlternateContent>
        <mc:AlternateContent xmlns:mc="http://schemas.openxmlformats.org/markup-compatibility/2006">
          <mc:Choice Requires="x14">
            <control shapeId="1122" r:id="rId40" name="Check Box 98">
              <controlPr defaultSize="0" autoFill="0" autoLine="0" autoPict="0">
                <anchor moveWithCells="1">
                  <from>
                    <xdr:col>7</xdr:col>
                    <xdr:colOff>546100</xdr:colOff>
                    <xdr:row>45</xdr:row>
                    <xdr:rowOff>76200</xdr:rowOff>
                  </from>
                  <to>
                    <xdr:col>7</xdr:col>
                    <xdr:colOff>825500</xdr:colOff>
                    <xdr:row>46</xdr:row>
                    <xdr:rowOff>76200</xdr:rowOff>
                  </to>
                </anchor>
              </controlPr>
            </control>
          </mc:Choice>
        </mc:AlternateContent>
        <mc:AlternateContent xmlns:mc="http://schemas.openxmlformats.org/markup-compatibility/2006">
          <mc:Choice Requires="x14">
            <control shapeId="1127" r:id="rId41" name="Check Box 103">
              <controlPr defaultSize="0" autoFill="0" autoLine="0" autoPict="0">
                <anchor moveWithCells="1">
                  <from>
                    <xdr:col>1</xdr:col>
                    <xdr:colOff>508000</xdr:colOff>
                    <xdr:row>31</xdr:row>
                    <xdr:rowOff>215900</xdr:rowOff>
                  </from>
                  <to>
                    <xdr:col>1</xdr:col>
                    <xdr:colOff>711200</xdr:colOff>
                    <xdr:row>32</xdr:row>
                    <xdr:rowOff>215900</xdr:rowOff>
                  </to>
                </anchor>
              </controlPr>
            </control>
          </mc:Choice>
        </mc:AlternateContent>
        <mc:AlternateContent xmlns:mc="http://schemas.openxmlformats.org/markup-compatibility/2006">
          <mc:Choice Requires="x14">
            <control shapeId="1128" r:id="rId42" name="Check Box 104">
              <controlPr defaultSize="0" autoFill="0" autoLine="0" autoPict="0" altText="_x000a_">
                <anchor moveWithCells="1">
                  <from>
                    <xdr:col>2</xdr:col>
                    <xdr:colOff>596900</xdr:colOff>
                    <xdr:row>32</xdr:row>
                    <xdr:rowOff>12700</xdr:rowOff>
                  </from>
                  <to>
                    <xdr:col>2</xdr:col>
                    <xdr:colOff>850900</xdr:colOff>
                    <xdr:row>33</xdr:row>
                    <xdr:rowOff>12700</xdr:rowOff>
                  </to>
                </anchor>
              </controlPr>
            </control>
          </mc:Choice>
        </mc:AlternateContent>
        <mc:AlternateContent xmlns:mc="http://schemas.openxmlformats.org/markup-compatibility/2006">
          <mc:Choice Requires="x14">
            <control shapeId="1129" r:id="rId43" name="Check Box 105">
              <controlPr defaultSize="0" autoFill="0" autoLine="0" autoPict="0">
                <anchor moveWithCells="1">
                  <from>
                    <xdr:col>1</xdr:col>
                    <xdr:colOff>508000</xdr:colOff>
                    <xdr:row>33</xdr:row>
                    <xdr:rowOff>165100</xdr:rowOff>
                  </from>
                  <to>
                    <xdr:col>1</xdr:col>
                    <xdr:colOff>711200</xdr:colOff>
                    <xdr:row>34</xdr:row>
                    <xdr:rowOff>152400</xdr:rowOff>
                  </to>
                </anchor>
              </controlPr>
            </control>
          </mc:Choice>
        </mc:AlternateContent>
        <mc:AlternateContent xmlns:mc="http://schemas.openxmlformats.org/markup-compatibility/2006">
          <mc:Choice Requires="x14">
            <control shapeId="1130" r:id="rId44" name="Check Box 106">
              <controlPr defaultSize="0" autoFill="0" autoLine="0" autoPict="0">
                <anchor moveWithCells="1">
                  <from>
                    <xdr:col>2</xdr:col>
                    <xdr:colOff>584200</xdr:colOff>
                    <xdr:row>33</xdr:row>
                    <xdr:rowOff>165100</xdr:rowOff>
                  </from>
                  <to>
                    <xdr:col>2</xdr:col>
                    <xdr:colOff>787400</xdr:colOff>
                    <xdr:row>34</xdr:row>
                    <xdr:rowOff>139700</xdr:rowOff>
                  </to>
                </anchor>
              </controlPr>
            </control>
          </mc:Choice>
        </mc:AlternateContent>
        <mc:AlternateContent xmlns:mc="http://schemas.openxmlformats.org/markup-compatibility/2006">
          <mc:Choice Requires="x14">
            <control shapeId="1131" r:id="rId45" name="Check Box 107">
              <controlPr defaultSize="0" autoFill="0" autoLine="0" autoPict="0">
                <anchor moveWithCells="1">
                  <from>
                    <xdr:col>1</xdr:col>
                    <xdr:colOff>508000</xdr:colOff>
                    <xdr:row>35</xdr:row>
                    <xdr:rowOff>63500</xdr:rowOff>
                  </from>
                  <to>
                    <xdr:col>1</xdr:col>
                    <xdr:colOff>723900</xdr:colOff>
                    <xdr:row>35</xdr:row>
                    <xdr:rowOff>279400</xdr:rowOff>
                  </to>
                </anchor>
              </controlPr>
            </control>
          </mc:Choice>
        </mc:AlternateContent>
        <mc:AlternateContent xmlns:mc="http://schemas.openxmlformats.org/markup-compatibility/2006">
          <mc:Choice Requires="x14">
            <control shapeId="1132" r:id="rId46" name="Check Box 108">
              <controlPr defaultSize="0" autoFill="0" autoLine="0" autoPict="0">
                <anchor moveWithCells="1">
                  <from>
                    <xdr:col>2</xdr:col>
                    <xdr:colOff>584200</xdr:colOff>
                    <xdr:row>35</xdr:row>
                    <xdr:rowOff>88900</xdr:rowOff>
                  </from>
                  <to>
                    <xdr:col>2</xdr:col>
                    <xdr:colOff>787400</xdr:colOff>
                    <xdr:row>35</xdr:row>
                    <xdr:rowOff>279400</xdr:rowOff>
                  </to>
                </anchor>
              </controlPr>
            </control>
          </mc:Choice>
        </mc:AlternateContent>
        <mc:AlternateContent xmlns:mc="http://schemas.openxmlformats.org/markup-compatibility/2006">
          <mc:Choice Requires="x14">
            <control shapeId="1133" r:id="rId47" name="Check Box 109">
              <controlPr defaultSize="0" autoFill="0" autoLine="0" autoPict="0">
                <anchor moveWithCells="1">
                  <from>
                    <xdr:col>1</xdr:col>
                    <xdr:colOff>508000</xdr:colOff>
                    <xdr:row>36</xdr:row>
                    <xdr:rowOff>12700</xdr:rowOff>
                  </from>
                  <to>
                    <xdr:col>1</xdr:col>
                    <xdr:colOff>723900</xdr:colOff>
                    <xdr:row>36</xdr:row>
                    <xdr:rowOff>215900</xdr:rowOff>
                  </to>
                </anchor>
              </controlPr>
            </control>
          </mc:Choice>
        </mc:AlternateContent>
        <mc:AlternateContent xmlns:mc="http://schemas.openxmlformats.org/markup-compatibility/2006">
          <mc:Choice Requires="x14">
            <control shapeId="1134" r:id="rId48" name="Check Box 110">
              <controlPr defaultSize="0" autoFill="0" autoLine="0" autoPict="0">
                <anchor moveWithCells="1">
                  <from>
                    <xdr:col>2</xdr:col>
                    <xdr:colOff>584200</xdr:colOff>
                    <xdr:row>36</xdr:row>
                    <xdr:rowOff>12700</xdr:rowOff>
                  </from>
                  <to>
                    <xdr:col>2</xdr:col>
                    <xdr:colOff>787400</xdr:colOff>
                    <xdr:row>36</xdr:row>
                    <xdr:rowOff>215900</xdr:rowOff>
                  </to>
                </anchor>
              </controlPr>
            </control>
          </mc:Choice>
        </mc:AlternateContent>
        <mc:AlternateContent xmlns:mc="http://schemas.openxmlformats.org/markup-compatibility/2006">
          <mc:Choice Requires="x14">
            <control shapeId="1137" r:id="rId49" name="Check Box 113">
              <controlPr defaultSize="0" autoFill="0" autoLine="0" autoPict="0">
                <anchor moveWithCells="1">
                  <from>
                    <xdr:col>1</xdr:col>
                    <xdr:colOff>508000</xdr:colOff>
                    <xdr:row>37</xdr:row>
                    <xdr:rowOff>25400</xdr:rowOff>
                  </from>
                  <to>
                    <xdr:col>1</xdr:col>
                    <xdr:colOff>774700</xdr:colOff>
                    <xdr:row>38</xdr:row>
                    <xdr:rowOff>12700</xdr:rowOff>
                  </to>
                </anchor>
              </controlPr>
            </control>
          </mc:Choice>
        </mc:AlternateContent>
        <mc:AlternateContent xmlns:mc="http://schemas.openxmlformats.org/markup-compatibility/2006">
          <mc:Choice Requires="x14">
            <control shapeId="1138" r:id="rId50" name="Check Box 114">
              <controlPr defaultSize="0" autoFill="0" autoLine="0" autoPict="0">
                <anchor moveWithCells="1">
                  <from>
                    <xdr:col>2</xdr:col>
                    <xdr:colOff>584200</xdr:colOff>
                    <xdr:row>36</xdr:row>
                    <xdr:rowOff>215900</xdr:rowOff>
                  </from>
                  <to>
                    <xdr:col>2</xdr:col>
                    <xdr:colOff>787400</xdr:colOff>
                    <xdr:row>38</xdr:row>
                    <xdr:rowOff>12700</xdr:rowOff>
                  </to>
                </anchor>
              </controlPr>
            </control>
          </mc:Choice>
        </mc:AlternateContent>
        <mc:AlternateContent xmlns:mc="http://schemas.openxmlformats.org/markup-compatibility/2006">
          <mc:Choice Requires="x14">
            <control shapeId="1139" r:id="rId51" name="Check Box 115">
              <controlPr defaultSize="0" autoFill="0" autoLine="0" autoPict="0">
                <anchor moveWithCells="1">
                  <from>
                    <xdr:col>1</xdr:col>
                    <xdr:colOff>508000</xdr:colOff>
                    <xdr:row>38</xdr:row>
                    <xdr:rowOff>88900</xdr:rowOff>
                  </from>
                  <to>
                    <xdr:col>1</xdr:col>
                    <xdr:colOff>723900</xdr:colOff>
                    <xdr:row>38</xdr:row>
                    <xdr:rowOff>304800</xdr:rowOff>
                  </to>
                </anchor>
              </controlPr>
            </control>
          </mc:Choice>
        </mc:AlternateContent>
        <mc:AlternateContent xmlns:mc="http://schemas.openxmlformats.org/markup-compatibility/2006">
          <mc:Choice Requires="x14">
            <control shapeId="1140" r:id="rId52" name="Check Box 116">
              <controlPr defaultSize="0" autoFill="0" autoLine="0" autoPict="0">
                <anchor moveWithCells="1">
                  <from>
                    <xdr:col>2</xdr:col>
                    <xdr:colOff>584200</xdr:colOff>
                    <xdr:row>38</xdr:row>
                    <xdr:rowOff>114300</xdr:rowOff>
                  </from>
                  <to>
                    <xdr:col>2</xdr:col>
                    <xdr:colOff>787400</xdr:colOff>
                    <xdr:row>38</xdr:row>
                    <xdr:rowOff>317500</xdr:rowOff>
                  </to>
                </anchor>
              </controlPr>
            </control>
          </mc:Choice>
        </mc:AlternateContent>
        <mc:AlternateContent xmlns:mc="http://schemas.openxmlformats.org/markup-compatibility/2006">
          <mc:Choice Requires="x14">
            <control shapeId="1141" r:id="rId53" name="Check Box 117">
              <controlPr defaultSize="0" autoFill="0" autoLine="0" autoPict="0">
                <anchor moveWithCells="1">
                  <from>
                    <xdr:col>1</xdr:col>
                    <xdr:colOff>508000</xdr:colOff>
                    <xdr:row>40</xdr:row>
                    <xdr:rowOff>88900</xdr:rowOff>
                  </from>
                  <to>
                    <xdr:col>1</xdr:col>
                    <xdr:colOff>711200</xdr:colOff>
                    <xdr:row>40</xdr:row>
                    <xdr:rowOff>292100</xdr:rowOff>
                  </to>
                </anchor>
              </controlPr>
            </control>
          </mc:Choice>
        </mc:AlternateContent>
        <mc:AlternateContent xmlns:mc="http://schemas.openxmlformats.org/markup-compatibility/2006">
          <mc:Choice Requires="x14">
            <control shapeId="1142" r:id="rId54" name="Check Box 118">
              <controlPr defaultSize="0" autoFill="0" autoLine="0" autoPict="0">
                <anchor moveWithCells="1">
                  <from>
                    <xdr:col>2</xdr:col>
                    <xdr:colOff>584200</xdr:colOff>
                    <xdr:row>40</xdr:row>
                    <xdr:rowOff>88900</xdr:rowOff>
                  </from>
                  <to>
                    <xdr:col>2</xdr:col>
                    <xdr:colOff>787400</xdr:colOff>
                    <xdr:row>40</xdr:row>
                    <xdr:rowOff>279400</xdr:rowOff>
                  </to>
                </anchor>
              </controlPr>
            </control>
          </mc:Choice>
        </mc:AlternateContent>
        <mc:AlternateContent xmlns:mc="http://schemas.openxmlformats.org/markup-compatibility/2006">
          <mc:Choice Requires="x14">
            <control shapeId="1144" r:id="rId55" name="Check Box 120">
              <controlPr defaultSize="0" autoFill="0" autoLine="0" autoPict="0">
                <anchor moveWithCells="1">
                  <from>
                    <xdr:col>6</xdr:col>
                    <xdr:colOff>38100</xdr:colOff>
                    <xdr:row>31</xdr:row>
                    <xdr:rowOff>203200</xdr:rowOff>
                  </from>
                  <to>
                    <xdr:col>6</xdr:col>
                    <xdr:colOff>266700</xdr:colOff>
                    <xdr:row>33</xdr:row>
                    <xdr:rowOff>0</xdr:rowOff>
                  </to>
                </anchor>
              </controlPr>
            </control>
          </mc:Choice>
        </mc:AlternateContent>
        <mc:AlternateContent xmlns:mc="http://schemas.openxmlformats.org/markup-compatibility/2006">
          <mc:Choice Requires="x14">
            <control shapeId="1145" r:id="rId56" name="Check Box 121">
              <controlPr defaultSize="0" autoFill="0" autoLine="0" autoPict="0">
                <anchor moveWithCells="1">
                  <from>
                    <xdr:col>0</xdr:col>
                    <xdr:colOff>4559300</xdr:colOff>
                    <xdr:row>41</xdr:row>
                    <xdr:rowOff>165100</xdr:rowOff>
                  </from>
                  <to>
                    <xdr:col>2</xdr:col>
                    <xdr:colOff>76200</xdr:colOff>
                    <xdr:row>42</xdr:row>
                    <xdr:rowOff>215900</xdr:rowOff>
                  </to>
                </anchor>
              </controlPr>
            </control>
          </mc:Choice>
        </mc:AlternateContent>
        <mc:AlternateContent xmlns:mc="http://schemas.openxmlformats.org/markup-compatibility/2006">
          <mc:Choice Requires="x14">
            <control shapeId="1146" r:id="rId57" name="Check Box 122">
              <controlPr defaultSize="0" autoFill="0" autoLine="0" autoPict="0">
                <anchor moveWithCells="1">
                  <from>
                    <xdr:col>1</xdr:col>
                    <xdr:colOff>977900</xdr:colOff>
                    <xdr:row>42</xdr:row>
                    <xdr:rowOff>0</xdr:rowOff>
                  </from>
                  <to>
                    <xdr:col>2</xdr:col>
                    <xdr:colOff>241300</xdr:colOff>
                    <xdr:row>42</xdr:row>
                    <xdr:rowOff>203200</xdr:rowOff>
                  </to>
                </anchor>
              </controlPr>
            </control>
          </mc:Choice>
        </mc:AlternateContent>
        <mc:AlternateContent xmlns:mc="http://schemas.openxmlformats.org/markup-compatibility/2006">
          <mc:Choice Requires="x14">
            <control shapeId="1151" r:id="rId58" name="Check Box 127">
              <controlPr defaultSize="0" autoFill="0" autoLine="0" autoPict="0">
                <anchor moveWithCells="1">
                  <from>
                    <xdr:col>1</xdr:col>
                    <xdr:colOff>508000</xdr:colOff>
                    <xdr:row>39</xdr:row>
                    <xdr:rowOff>63500</xdr:rowOff>
                  </from>
                  <to>
                    <xdr:col>1</xdr:col>
                    <xdr:colOff>711200</xdr:colOff>
                    <xdr:row>39</xdr:row>
                    <xdr:rowOff>279400</xdr:rowOff>
                  </to>
                </anchor>
              </controlPr>
            </control>
          </mc:Choice>
        </mc:AlternateContent>
        <mc:AlternateContent xmlns:mc="http://schemas.openxmlformats.org/markup-compatibility/2006">
          <mc:Choice Requires="x14">
            <control shapeId="1152" r:id="rId59" name="Check Box 128">
              <controlPr defaultSize="0" autoFill="0" autoLine="0" autoPict="0">
                <anchor moveWithCells="1">
                  <from>
                    <xdr:col>2</xdr:col>
                    <xdr:colOff>584200</xdr:colOff>
                    <xdr:row>39</xdr:row>
                    <xdr:rowOff>88900</xdr:rowOff>
                  </from>
                  <to>
                    <xdr:col>2</xdr:col>
                    <xdr:colOff>787400</xdr:colOff>
                    <xdr:row>39</xdr:row>
                    <xdr:rowOff>292100</xdr:rowOff>
                  </to>
                </anchor>
              </controlPr>
            </control>
          </mc:Choice>
        </mc:AlternateContent>
        <mc:AlternateContent xmlns:mc="http://schemas.openxmlformats.org/markup-compatibility/2006">
          <mc:Choice Requires="x14">
            <control shapeId="1153" r:id="rId60" name="Check Box 129">
              <controlPr defaultSize="0" autoFill="0" autoLine="0" autoPict="0">
                <anchor moveWithCells="1">
                  <from>
                    <xdr:col>2</xdr:col>
                    <xdr:colOff>330200</xdr:colOff>
                    <xdr:row>42</xdr:row>
                    <xdr:rowOff>0</xdr:rowOff>
                  </from>
                  <to>
                    <xdr:col>2</xdr:col>
                    <xdr:colOff>838200</xdr:colOff>
                    <xdr:row>42</xdr:row>
                    <xdr:rowOff>241300</xdr:rowOff>
                  </to>
                </anchor>
              </controlPr>
            </control>
          </mc:Choice>
        </mc:AlternateContent>
        <mc:AlternateContent xmlns:mc="http://schemas.openxmlformats.org/markup-compatibility/2006">
          <mc:Choice Requires="x14">
            <control shapeId="1154" r:id="rId61" name="Check Box 130">
              <controlPr defaultSize="0" autoFill="0" autoLine="0" autoPict="0">
                <anchor moveWithCells="1">
                  <from>
                    <xdr:col>2</xdr:col>
                    <xdr:colOff>889000</xdr:colOff>
                    <xdr:row>41</xdr:row>
                    <xdr:rowOff>177800</xdr:rowOff>
                  </from>
                  <to>
                    <xdr:col>2</xdr:col>
                    <xdr:colOff>1397000</xdr:colOff>
                    <xdr:row>42</xdr:row>
                    <xdr:rowOff>228600</xdr:rowOff>
                  </to>
                </anchor>
              </controlPr>
            </control>
          </mc:Choice>
        </mc:AlternateContent>
        <mc:AlternateContent xmlns:mc="http://schemas.openxmlformats.org/markup-compatibility/2006">
          <mc:Choice Requires="x14">
            <control shapeId="1155" r:id="rId62" name="Check Box 131">
              <controlPr defaultSize="0" autoFill="0" autoLine="0" autoPict="0">
                <anchor moveWithCells="1">
                  <from>
                    <xdr:col>1</xdr:col>
                    <xdr:colOff>622300</xdr:colOff>
                    <xdr:row>42</xdr:row>
                    <xdr:rowOff>165100</xdr:rowOff>
                  </from>
                  <to>
                    <xdr:col>2</xdr:col>
                    <xdr:colOff>381000</xdr:colOff>
                    <xdr:row>43</xdr:row>
                    <xdr:rowOff>25400</xdr:rowOff>
                  </to>
                </anchor>
              </controlPr>
            </control>
          </mc:Choice>
        </mc:AlternateContent>
        <mc:AlternateContent xmlns:mc="http://schemas.openxmlformats.org/markup-compatibility/2006">
          <mc:Choice Requires="x14">
            <control shapeId="1156" r:id="rId63" name="Check Box 132">
              <controlPr defaultSize="0" autoFill="0" autoLine="0" autoPict="0">
                <anchor moveWithCells="1">
                  <from>
                    <xdr:col>5</xdr:col>
                    <xdr:colOff>457200</xdr:colOff>
                    <xdr:row>21</xdr:row>
                    <xdr:rowOff>0</xdr:rowOff>
                  </from>
                  <to>
                    <xdr:col>5</xdr:col>
                    <xdr:colOff>698500</xdr:colOff>
                    <xdr:row>22</xdr:row>
                    <xdr:rowOff>12700</xdr:rowOff>
                  </to>
                </anchor>
              </controlPr>
            </control>
          </mc:Choice>
        </mc:AlternateContent>
        <mc:AlternateContent xmlns:mc="http://schemas.openxmlformats.org/markup-compatibility/2006">
          <mc:Choice Requires="x14">
            <control shapeId="1160" r:id="rId64" name="Check Box 136">
              <controlPr defaultSize="0" autoFill="0" autoLine="0" autoPict="0">
                <anchor moveWithCells="1">
                  <from>
                    <xdr:col>5</xdr:col>
                    <xdr:colOff>457200</xdr:colOff>
                    <xdr:row>21</xdr:row>
                    <xdr:rowOff>177800</xdr:rowOff>
                  </from>
                  <to>
                    <xdr:col>5</xdr:col>
                    <xdr:colOff>673100</xdr:colOff>
                    <xdr:row>23</xdr:row>
                    <xdr:rowOff>25400</xdr:rowOff>
                  </to>
                </anchor>
              </controlPr>
            </control>
          </mc:Choice>
        </mc:AlternateContent>
        <mc:AlternateContent xmlns:mc="http://schemas.openxmlformats.org/markup-compatibility/2006">
          <mc:Choice Requires="x14">
            <control shapeId="1161" r:id="rId65" name="Check Box 137">
              <controlPr defaultSize="0" autoFill="0" autoLine="0" autoPict="0">
                <anchor moveWithCells="1">
                  <from>
                    <xdr:col>5</xdr:col>
                    <xdr:colOff>457200</xdr:colOff>
                    <xdr:row>22</xdr:row>
                    <xdr:rowOff>0</xdr:rowOff>
                  </from>
                  <to>
                    <xdr:col>5</xdr:col>
                    <xdr:colOff>698500</xdr:colOff>
                    <xdr:row>23</xdr:row>
                    <xdr:rowOff>12700</xdr:rowOff>
                  </to>
                </anchor>
              </controlPr>
            </control>
          </mc:Choice>
        </mc:AlternateContent>
        <mc:AlternateContent xmlns:mc="http://schemas.openxmlformats.org/markup-compatibility/2006">
          <mc:Choice Requires="x14">
            <control shapeId="1162" r:id="rId66" name="Check Box 138">
              <controlPr defaultSize="0" autoFill="0" autoLine="0" autoPict="0">
                <anchor moveWithCells="1">
                  <from>
                    <xdr:col>6</xdr:col>
                    <xdr:colOff>558800</xdr:colOff>
                    <xdr:row>21</xdr:row>
                    <xdr:rowOff>177800</xdr:rowOff>
                  </from>
                  <to>
                    <xdr:col>6</xdr:col>
                    <xdr:colOff>901700</xdr:colOff>
                    <xdr:row>23</xdr:row>
                    <xdr:rowOff>0</xdr:rowOff>
                  </to>
                </anchor>
              </controlPr>
            </control>
          </mc:Choice>
        </mc:AlternateContent>
        <mc:AlternateContent xmlns:mc="http://schemas.openxmlformats.org/markup-compatibility/2006">
          <mc:Choice Requires="x14">
            <control shapeId="1163" r:id="rId67" name="Check Box 139">
              <controlPr defaultSize="0" autoFill="0" autoLine="0" autoPict="0">
                <anchor moveWithCells="1">
                  <from>
                    <xdr:col>6</xdr:col>
                    <xdr:colOff>558800</xdr:colOff>
                    <xdr:row>22</xdr:row>
                    <xdr:rowOff>165100</xdr:rowOff>
                  </from>
                  <to>
                    <xdr:col>6</xdr:col>
                    <xdr:colOff>774700</xdr:colOff>
                    <xdr:row>24</xdr:row>
                    <xdr:rowOff>0</xdr:rowOff>
                  </to>
                </anchor>
              </controlPr>
            </control>
          </mc:Choice>
        </mc:AlternateContent>
        <mc:AlternateContent xmlns:mc="http://schemas.openxmlformats.org/markup-compatibility/2006">
          <mc:Choice Requires="x14">
            <control shapeId="1164" r:id="rId68" name="Check Box 140">
              <controlPr defaultSize="0" autoFill="0" autoLine="0" autoPict="0">
                <anchor moveWithCells="1">
                  <from>
                    <xdr:col>6</xdr:col>
                    <xdr:colOff>558800</xdr:colOff>
                    <xdr:row>24</xdr:row>
                    <xdr:rowOff>0</xdr:rowOff>
                  </from>
                  <to>
                    <xdr:col>6</xdr:col>
                    <xdr:colOff>863600</xdr:colOff>
                    <xdr:row>24</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37390-C5C7-4DAA-B7E8-FB9DDF84B6BC}">
  <sheetPr codeName="Feuil9"/>
  <dimension ref="A1:G17"/>
  <sheetViews>
    <sheetView showGridLines="0" zoomScale="85" zoomScaleNormal="85" workbookViewId="0">
      <selection activeCell="E1" sqref="E1"/>
    </sheetView>
  </sheetViews>
  <sheetFormatPr baseColWidth="10" defaultRowHeight="15" x14ac:dyDescent="0.2"/>
  <cols>
    <col min="1" max="1" width="30.6640625" customWidth="1"/>
    <col min="4" max="4" width="16.5" customWidth="1"/>
    <col min="5" max="5" width="15.6640625" customWidth="1"/>
    <col min="6" max="7" width="21.83203125" customWidth="1"/>
    <col min="8" max="8" width="15.33203125" customWidth="1"/>
  </cols>
  <sheetData>
    <row r="1" spans="1:7" ht="29" x14ac:dyDescent="0.35">
      <c r="A1" s="47" t="s">
        <v>236</v>
      </c>
    </row>
    <row r="3" spans="1:7" ht="16.25" customHeight="1" x14ac:dyDescent="0.2">
      <c r="A3" s="246" t="s">
        <v>193</v>
      </c>
      <c r="B3" s="247"/>
      <c r="C3" s="247"/>
      <c r="D3" s="247"/>
      <c r="E3" s="248"/>
      <c r="F3" s="97" t="s">
        <v>131</v>
      </c>
      <c r="G3" s="97" t="s">
        <v>132</v>
      </c>
    </row>
    <row r="4" spans="1:7" ht="16.25" customHeight="1" x14ac:dyDescent="0.2">
      <c r="A4" s="249" t="s">
        <v>231</v>
      </c>
      <c r="B4" s="249"/>
      <c r="C4" s="249"/>
      <c r="D4" s="249"/>
      <c r="E4" s="249"/>
      <c r="F4" s="45"/>
      <c r="G4" s="45"/>
    </row>
    <row r="5" spans="1:7" ht="16.75" customHeight="1" x14ac:dyDescent="0.2">
      <c r="A5" s="177" t="s">
        <v>230</v>
      </c>
      <c r="B5" s="251"/>
      <c r="C5" s="251"/>
      <c r="D5" s="251"/>
      <c r="E5" s="178"/>
      <c r="F5" s="45"/>
      <c r="G5" s="45"/>
    </row>
    <row r="6" spans="1:7" x14ac:dyDescent="0.2">
      <c r="A6" s="177" t="s">
        <v>232</v>
      </c>
      <c r="B6" s="251"/>
      <c r="C6" s="251"/>
      <c r="D6" s="251"/>
      <c r="E6" s="178"/>
      <c r="F6" s="45"/>
      <c r="G6" s="45"/>
    </row>
    <row r="7" spans="1:7" x14ac:dyDescent="0.2">
      <c r="A7" s="177" t="s">
        <v>233</v>
      </c>
      <c r="B7" s="251"/>
      <c r="C7" s="251"/>
      <c r="D7" s="251"/>
      <c r="E7" s="178"/>
      <c r="F7" s="45"/>
      <c r="G7" s="45"/>
    </row>
    <row r="8" spans="1:7" x14ac:dyDescent="0.2">
      <c r="A8" s="216" t="s">
        <v>209</v>
      </c>
      <c r="B8" s="216"/>
      <c r="C8" s="216"/>
      <c r="D8" s="216"/>
      <c r="E8" s="216"/>
      <c r="F8" s="45"/>
      <c r="G8" s="45"/>
    </row>
    <row r="10" spans="1:7" ht="32" x14ac:dyDescent="0.2">
      <c r="A10" s="2" t="s">
        <v>196</v>
      </c>
      <c r="B10" s="252" t="s">
        <v>6</v>
      </c>
      <c r="C10" s="252"/>
      <c r="D10" s="252"/>
      <c r="E10" s="124" t="s">
        <v>7</v>
      </c>
      <c r="F10" s="124" t="s">
        <v>8</v>
      </c>
      <c r="G10" s="124" t="s">
        <v>68</v>
      </c>
    </row>
    <row r="11" spans="1:7" ht="28.75" customHeight="1" x14ac:dyDescent="0.2">
      <c r="A11" s="125" t="s">
        <v>194</v>
      </c>
      <c r="B11" s="250"/>
      <c r="C11" s="250"/>
      <c r="D11" s="250"/>
      <c r="E11" s="126"/>
      <c r="F11" s="120"/>
      <c r="G11" s="127"/>
    </row>
    <row r="12" spans="1:7" ht="28.75" customHeight="1" x14ac:dyDescent="0.2">
      <c r="A12" s="124" t="s">
        <v>195</v>
      </c>
      <c r="B12" s="250"/>
      <c r="C12" s="250"/>
      <c r="D12" s="250"/>
      <c r="E12" s="126"/>
      <c r="F12" s="120"/>
      <c r="G12" s="127"/>
    </row>
    <row r="13" spans="1:7" ht="28.75" customHeight="1" x14ac:dyDescent="0.2">
      <c r="A13" s="124" t="s">
        <v>195</v>
      </c>
      <c r="B13" s="250"/>
      <c r="C13" s="250"/>
      <c r="D13" s="250"/>
      <c r="E13" s="126"/>
      <c r="F13" s="120"/>
      <c r="G13" s="127"/>
    </row>
    <row r="14" spans="1:7" ht="28.75" customHeight="1" x14ac:dyDescent="0.2">
      <c r="A14" s="124" t="s">
        <v>195</v>
      </c>
      <c r="B14" s="250"/>
      <c r="C14" s="250"/>
      <c r="D14" s="250"/>
      <c r="E14" s="126"/>
      <c r="F14" s="120"/>
      <c r="G14" s="127"/>
    </row>
    <row r="15" spans="1:7" ht="28.75" customHeight="1" x14ac:dyDescent="0.2">
      <c r="A15" s="124" t="s">
        <v>195</v>
      </c>
      <c r="B15" s="250"/>
      <c r="C15" s="250"/>
      <c r="D15" s="250"/>
      <c r="E15" s="126"/>
      <c r="F15" s="120"/>
      <c r="G15" s="127"/>
    </row>
    <row r="16" spans="1:7" ht="28.75" customHeight="1" x14ac:dyDescent="0.2">
      <c r="A16" s="124" t="s">
        <v>195</v>
      </c>
      <c r="B16" s="250"/>
      <c r="C16" s="250"/>
      <c r="D16" s="250"/>
      <c r="E16" s="126"/>
      <c r="F16" s="120"/>
      <c r="G16" s="127"/>
    </row>
    <row r="17" spans="1:7" ht="28.75" customHeight="1" x14ac:dyDescent="0.2">
      <c r="A17" s="124" t="s">
        <v>195</v>
      </c>
      <c r="B17" s="250"/>
      <c r="C17" s="250"/>
      <c r="D17" s="250"/>
      <c r="E17" s="126"/>
      <c r="F17" s="120"/>
      <c r="G17" s="127"/>
    </row>
  </sheetData>
  <mergeCells count="14">
    <mergeCell ref="A3:E3"/>
    <mergeCell ref="A4:E4"/>
    <mergeCell ref="B15:D15"/>
    <mergeCell ref="B16:D16"/>
    <mergeCell ref="B17:D17"/>
    <mergeCell ref="A5:E5"/>
    <mergeCell ref="A6:E6"/>
    <mergeCell ref="A7:E7"/>
    <mergeCell ref="B10:D10"/>
    <mergeCell ref="B11:D11"/>
    <mergeCell ref="B12:D12"/>
    <mergeCell ref="B13:D13"/>
    <mergeCell ref="B14:D14"/>
    <mergeCell ref="A8:E8"/>
  </mergeCells>
  <phoneticPr fontId="34" type="noConversion"/>
  <dataValidations count="1">
    <dataValidation type="list" allowBlank="1" showInputMessage="1" showErrorMessage="1" sqref="G11:G17" xr:uid="{55DDA203-F511-4406-B861-5A8E46F9BA99}">
      <formula1>"Sur site,A distance"</formula1>
    </dataValidation>
  </dataValidations>
  <pageMargins left="0.7" right="0.7" top="0.75" bottom="0.75" header="0.3" footer="0.3"/>
  <pageSetup paperSize="9"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1268" r:id="rId4" name="Check Box 4">
              <controlPr defaultSize="0" autoFill="0" autoLine="0" autoPict="0">
                <anchor moveWithCells="1">
                  <from>
                    <xdr:col>5</xdr:col>
                    <xdr:colOff>660400</xdr:colOff>
                    <xdr:row>2</xdr:row>
                    <xdr:rowOff>177800</xdr:rowOff>
                  </from>
                  <to>
                    <xdr:col>5</xdr:col>
                    <xdr:colOff>876300</xdr:colOff>
                    <xdr:row>4</xdr:row>
                    <xdr:rowOff>12700</xdr:rowOff>
                  </to>
                </anchor>
              </controlPr>
            </control>
          </mc:Choice>
        </mc:AlternateContent>
        <mc:AlternateContent xmlns:mc="http://schemas.openxmlformats.org/markup-compatibility/2006">
          <mc:Choice Requires="x14">
            <control shapeId="11271" r:id="rId5" name="Check Box 7">
              <controlPr defaultSize="0" autoFill="0" autoLine="0" autoPict="0">
                <anchor moveWithCells="1">
                  <from>
                    <xdr:col>6</xdr:col>
                    <xdr:colOff>685800</xdr:colOff>
                    <xdr:row>4</xdr:row>
                    <xdr:rowOff>177800</xdr:rowOff>
                  </from>
                  <to>
                    <xdr:col>6</xdr:col>
                    <xdr:colOff>901700</xdr:colOff>
                    <xdr:row>6</xdr:row>
                    <xdr:rowOff>25400</xdr:rowOff>
                  </to>
                </anchor>
              </controlPr>
            </control>
          </mc:Choice>
        </mc:AlternateContent>
        <mc:AlternateContent xmlns:mc="http://schemas.openxmlformats.org/markup-compatibility/2006">
          <mc:Choice Requires="x14">
            <control shapeId="11272" r:id="rId6" name="Check Box 8">
              <controlPr defaultSize="0" autoFill="0" autoLine="0" autoPict="0">
                <anchor moveWithCells="1">
                  <from>
                    <xdr:col>6</xdr:col>
                    <xdr:colOff>685800</xdr:colOff>
                    <xdr:row>5</xdr:row>
                    <xdr:rowOff>139700</xdr:rowOff>
                  </from>
                  <to>
                    <xdr:col>6</xdr:col>
                    <xdr:colOff>901700</xdr:colOff>
                    <xdr:row>7</xdr:row>
                    <xdr:rowOff>25400</xdr:rowOff>
                  </to>
                </anchor>
              </controlPr>
            </control>
          </mc:Choice>
        </mc:AlternateContent>
        <mc:AlternateContent xmlns:mc="http://schemas.openxmlformats.org/markup-compatibility/2006">
          <mc:Choice Requires="x14">
            <control shapeId="11273" r:id="rId7" name="Check Box 9">
              <controlPr defaultSize="0" autoFill="0" autoLine="0" autoPict="0">
                <anchor moveWithCells="1">
                  <from>
                    <xdr:col>5</xdr:col>
                    <xdr:colOff>660400</xdr:colOff>
                    <xdr:row>5</xdr:row>
                    <xdr:rowOff>152400</xdr:rowOff>
                  </from>
                  <to>
                    <xdr:col>5</xdr:col>
                    <xdr:colOff>876300</xdr:colOff>
                    <xdr:row>7</xdr:row>
                    <xdr:rowOff>38100</xdr:rowOff>
                  </to>
                </anchor>
              </controlPr>
            </control>
          </mc:Choice>
        </mc:AlternateContent>
        <mc:AlternateContent xmlns:mc="http://schemas.openxmlformats.org/markup-compatibility/2006">
          <mc:Choice Requires="x14">
            <control shapeId="11274" r:id="rId8" name="Check Box 10">
              <controlPr defaultSize="0" autoFill="0" autoLine="0" autoPict="0">
                <anchor moveWithCells="1">
                  <from>
                    <xdr:col>5</xdr:col>
                    <xdr:colOff>660400</xdr:colOff>
                    <xdr:row>3</xdr:row>
                    <xdr:rowOff>177800</xdr:rowOff>
                  </from>
                  <to>
                    <xdr:col>5</xdr:col>
                    <xdr:colOff>876300</xdr:colOff>
                    <xdr:row>5</xdr:row>
                    <xdr:rowOff>0</xdr:rowOff>
                  </to>
                </anchor>
              </controlPr>
            </control>
          </mc:Choice>
        </mc:AlternateContent>
        <mc:AlternateContent xmlns:mc="http://schemas.openxmlformats.org/markup-compatibility/2006">
          <mc:Choice Requires="x14">
            <control shapeId="11275" r:id="rId9" name="Check Box 11">
              <controlPr defaultSize="0" autoFill="0" autoLine="0" autoPict="0">
                <anchor moveWithCells="1">
                  <from>
                    <xdr:col>5</xdr:col>
                    <xdr:colOff>660400</xdr:colOff>
                    <xdr:row>4</xdr:row>
                    <xdr:rowOff>177800</xdr:rowOff>
                  </from>
                  <to>
                    <xdr:col>5</xdr:col>
                    <xdr:colOff>876300</xdr:colOff>
                    <xdr:row>6</xdr:row>
                    <xdr:rowOff>38100</xdr:rowOff>
                  </to>
                </anchor>
              </controlPr>
            </control>
          </mc:Choice>
        </mc:AlternateContent>
        <mc:AlternateContent xmlns:mc="http://schemas.openxmlformats.org/markup-compatibility/2006">
          <mc:Choice Requires="x14">
            <control shapeId="11277" r:id="rId10" name="Check Box 13">
              <controlPr defaultSize="0" autoFill="0" autoLine="0" autoPict="0">
                <anchor moveWithCells="1">
                  <from>
                    <xdr:col>6</xdr:col>
                    <xdr:colOff>698500</xdr:colOff>
                    <xdr:row>2</xdr:row>
                    <xdr:rowOff>177800</xdr:rowOff>
                  </from>
                  <to>
                    <xdr:col>6</xdr:col>
                    <xdr:colOff>914400</xdr:colOff>
                    <xdr:row>4</xdr:row>
                    <xdr:rowOff>12700</xdr:rowOff>
                  </to>
                </anchor>
              </controlPr>
            </control>
          </mc:Choice>
        </mc:AlternateContent>
        <mc:AlternateContent xmlns:mc="http://schemas.openxmlformats.org/markup-compatibility/2006">
          <mc:Choice Requires="x14">
            <control shapeId="11278" r:id="rId11" name="Check Box 14">
              <controlPr defaultSize="0" autoFill="0" autoLine="0" autoPict="0">
                <anchor moveWithCells="1">
                  <from>
                    <xdr:col>6</xdr:col>
                    <xdr:colOff>685800</xdr:colOff>
                    <xdr:row>3</xdr:row>
                    <xdr:rowOff>177800</xdr:rowOff>
                  </from>
                  <to>
                    <xdr:col>6</xdr:col>
                    <xdr:colOff>901700</xdr:colOff>
                    <xdr:row>5</xdr:row>
                    <xdr:rowOff>12700</xdr:rowOff>
                  </to>
                </anchor>
              </controlPr>
            </control>
          </mc:Choice>
        </mc:AlternateContent>
        <mc:AlternateContent xmlns:mc="http://schemas.openxmlformats.org/markup-compatibility/2006">
          <mc:Choice Requires="x14">
            <control shapeId="11288" r:id="rId12" name="Check Box 24">
              <controlPr defaultSize="0" autoFill="0" autoLine="0" autoPict="0">
                <anchor moveWithCells="1">
                  <from>
                    <xdr:col>5</xdr:col>
                    <xdr:colOff>660400</xdr:colOff>
                    <xdr:row>6</xdr:row>
                    <xdr:rowOff>139700</xdr:rowOff>
                  </from>
                  <to>
                    <xdr:col>5</xdr:col>
                    <xdr:colOff>876300</xdr:colOff>
                    <xdr:row>8</xdr:row>
                    <xdr:rowOff>25400</xdr:rowOff>
                  </to>
                </anchor>
              </controlPr>
            </control>
          </mc:Choice>
        </mc:AlternateContent>
        <mc:AlternateContent xmlns:mc="http://schemas.openxmlformats.org/markup-compatibility/2006">
          <mc:Choice Requires="x14">
            <control shapeId="11289" r:id="rId13" name="Check Box 25">
              <controlPr defaultSize="0" autoFill="0" autoLine="0" autoPict="0">
                <anchor moveWithCells="1">
                  <from>
                    <xdr:col>6</xdr:col>
                    <xdr:colOff>685800</xdr:colOff>
                    <xdr:row>6</xdr:row>
                    <xdr:rowOff>152400</xdr:rowOff>
                  </from>
                  <to>
                    <xdr:col>6</xdr:col>
                    <xdr:colOff>901700</xdr:colOff>
                    <xdr:row>8</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970F9-363B-48BC-87FD-02BE7BAF12A9}">
  <sheetPr codeName="Feuil3">
    <pageSetUpPr fitToPage="1"/>
  </sheetPr>
  <dimension ref="A2:F51"/>
  <sheetViews>
    <sheetView topLeftCell="A47" zoomScale="85" zoomScaleNormal="85" zoomScalePageLayoutView="65" workbookViewId="0"/>
  </sheetViews>
  <sheetFormatPr baseColWidth="10" defaultRowHeight="15" x14ac:dyDescent="0.2"/>
  <cols>
    <col min="1" max="1" width="25.5" customWidth="1"/>
    <col min="2" max="2" width="35" customWidth="1"/>
    <col min="3" max="4" width="21.6640625" customWidth="1"/>
    <col min="5" max="5" width="24.33203125" customWidth="1"/>
    <col min="6" max="6" width="38.1640625" customWidth="1"/>
  </cols>
  <sheetData>
    <row r="2" spans="1:5" ht="29" x14ac:dyDescent="0.35">
      <c r="A2" s="62" t="s">
        <v>84</v>
      </c>
      <c r="B2" s="62"/>
      <c r="C2" s="62"/>
      <c r="D2" s="62"/>
    </row>
    <row r="3" spans="1:5" x14ac:dyDescent="0.2">
      <c r="A3" t="s">
        <v>61</v>
      </c>
    </row>
    <row r="4" spans="1:5" ht="16" thickBot="1" x14ac:dyDescent="0.25"/>
    <row r="5" spans="1:5" ht="17" thickBot="1" x14ac:dyDescent="0.25">
      <c r="A5" s="63" t="s">
        <v>85</v>
      </c>
      <c r="B5" s="261">
        <f>OPAC!B12</f>
        <v>0</v>
      </c>
      <c r="C5" s="262"/>
      <c r="D5" s="262"/>
      <c r="E5" s="263"/>
    </row>
    <row r="6" spans="1:5" ht="17" thickBot="1" x14ac:dyDescent="0.25">
      <c r="A6" s="64" t="s">
        <v>86</v>
      </c>
      <c r="B6" s="261" t="str">
        <f>IF('OPAC multisite'!F11="","",'OPAC multisite'!F11)</f>
        <v/>
      </c>
      <c r="C6" s="262"/>
      <c r="D6" s="262"/>
      <c r="E6" s="263"/>
    </row>
    <row r="7" spans="1:5" ht="17" thickBot="1" x14ac:dyDescent="0.25">
      <c r="A7" s="64" t="s">
        <v>87</v>
      </c>
      <c r="B7" s="264" t="s">
        <v>61</v>
      </c>
      <c r="C7" s="265"/>
      <c r="D7" s="265"/>
      <c r="E7" s="266"/>
    </row>
    <row r="8" spans="1:5" ht="17" thickBot="1" x14ac:dyDescent="0.25">
      <c r="A8" s="65" t="s">
        <v>88</v>
      </c>
      <c r="B8" s="261">
        <f>OPAC!F8</f>
        <v>0</v>
      </c>
      <c r="C8" s="262"/>
      <c r="D8" s="262"/>
      <c r="E8" s="263"/>
    </row>
    <row r="9" spans="1:5" ht="29.5" customHeight="1" thickBot="1" x14ac:dyDescent="0.25">
      <c r="A9" s="71" t="s">
        <v>121</v>
      </c>
      <c r="B9" s="267" t="str">
        <f>OPAC!E14</f>
        <v>Audit sur site</v>
      </c>
      <c r="C9" s="268"/>
      <c r="D9" s="268"/>
      <c r="E9" s="269"/>
    </row>
    <row r="10" spans="1:5" ht="17" thickBot="1" x14ac:dyDescent="0.25">
      <c r="A10" s="71" t="s">
        <v>62</v>
      </c>
      <c r="B10" s="267" t="str">
        <f>_xlfn.CONCAT(OPAC!I28:I34)</f>
        <v/>
      </c>
      <c r="C10" s="268"/>
      <c r="D10" s="268"/>
      <c r="E10" s="269"/>
    </row>
    <row r="11" spans="1:5" ht="17" thickBot="1" x14ac:dyDescent="0.25">
      <c r="A11" s="76" t="s">
        <v>109</v>
      </c>
      <c r="B11" s="74">
        <f>OPAC!B6</f>
        <v>0</v>
      </c>
      <c r="C11" s="75" t="s">
        <v>110</v>
      </c>
      <c r="D11" s="255">
        <f>OPAC!B7</f>
        <v>0</v>
      </c>
      <c r="E11" s="256"/>
    </row>
    <row r="12" spans="1:5" x14ac:dyDescent="0.2">
      <c r="A12" s="270" t="s">
        <v>421</v>
      </c>
      <c r="B12" s="270"/>
      <c r="C12" s="216" t="e">
        <f>CONCATENATE(OPAC!I22,OPAC!I23,OPAC!I24,OPAC!I25)</f>
        <v>#REF!</v>
      </c>
      <c r="D12" s="216"/>
      <c r="E12" s="216"/>
    </row>
    <row r="14" spans="1:5" ht="30" x14ac:dyDescent="0.2">
      <c r="A14" s="121" t="s">
        <v>89</v>
      </c>
      <c r="B14" s="122" t="s">
        <v>90</v>
      </c>
      <c r="C14" s="122" t="s">
        <v>98</v>
      </c>
      <c r="D14" s="122" t="s">
        <v>91</v>
      </c>
      <c r="E14" s="122" t="s">
        <v>92</v>
      </c>
    </row>
    <row r="15" spans="1:5" ht="57" customHeight="1" x14ac:dyDescent="0.2">
      <c r="A15" s="257" t="s">
        <v>283</v>
      </c>
      <c r="B15" s="257"/>
      <c r="C15" s="257"/>
      <c r="D15" s="257"/>
      <c r="E15" s="257"/>
    </row>
    <row r="16" spans="1:5" ht="26.5" customHeight="1" x14ac:dyDescent="0.2">
      <c r="A16" s="78">
        <f>OPAC!B6</f>
        <v>0</v>
      </c>
      <c r="B16" s="271" t="s">
        <v>461</v>
      </c>
      <c r="C16" s="271"/>
      <c r="D16" s="271"/>
      <c r="E16" s="271"/>
    </row>
    <row r="17" spans="1:5" ht="113.5" customHeight="1" x14ac:dyDescent="0.2">
      <c r="A17" s="2" t="s">
        <v>446</v>
      </c>
      <c r="B17" s="80" t="s">
        <v>460</v>
      </c>
      <c r="C17" s="69"/>
      <c r="D17" s="250">
        <f>OPAC!F8</f>
        <v>0</v>
      </c>
      <c r="E17" s="258" t="str">
        <f>_xlfn.CONCAT(OPAC!B21,", ",OPAC!B22)</f>
        <v xml:space="preserve">, </v>
      </c>
    </row>
    <row r="18" spans="1:5" ht="47.5" customHeight="1" x14ac:dyDescent="0.2">
      <c r="A18" s="2"/>
      <c r="B18" s="79" t="s">
        <v>228</v>
      </c>
      <c r="C18" s="14"/>
      <c r="D18" s="250"/>
      <c r="E18" s="259"/>
    </row>
    <row r="19" spans="1:5" ht="52.25" customHeight="1" x14ac:dyDescent="0.2">
      <c r="A19" s="2" t="s">
        <v>447</v>
      </c>
      <c r="B19" s="79" t="s">
        <v>97</v>
      </c>
      <c r="C19" s="14" t="s">
        <v>130</v>
      </c>
      <c r="D19" s="250"/>
      <c r="E19" s="259"/>
    </row>
    <row r="20" spans="1:5" ht="66.5" customHeight="1" x14ac:dyDescent="0.2">
      <c r="A20" s="46" t="s">
        <v>448</v>
      </c>
      <c r="B20" s="79" t="s">
        <v>111</v>
      </c>
      <c r="C20" s="87" t="s">
        <v>496</v>
      </c>
      <c r="D20" s="250"/>
      <c r="E20" s="259"/>
    </row>
    <row r="21" spans="1:5" ht="64.25" customHeight="1" x14ac:dyDescent="0.2">
      <c r="A21" s="46" t="s">
        <v>449</v>
      </c>
      <c r="B21" s="79" t="s">
        <v>139</v>
      </c>
      <c r="C21" s="87" t="s">
        <v>497</v>
      </c>
      <c r="D21" s="250"/>
      <c r="E21" s="259"/>
    </row>
    <row r="22" spans="1:5" ht="26.5" customHeight="1" x14ac:dyDescent="0.2">
      <c r="A22" s="46" t="s">
        <v>450</v>
      </c>
      <c r="B22" s="66" t="s">
        <v>93</v>
      </c>
      <c r="C22" s="82"/>
      <c r="D22" s="250"/>
      <c r="E22" s="259"/>
    </row>
    <row r="23" spans="1:5" ht="51" customHeight="1" x14ac:dyDescent="0.2">
      <c r="A23" s="46" t="s">
        <v>451</v>
      </c>
      <c r="B23" s="79" t="s">
        <v>126</v>
      </c>
      <c r="C23" s="87" t="s">
        <v>498</v>
      </c>
      <c r="D23" s="250"/>
      <c r="E23" s="259"/>
    </row>
    <row r="24" spans="1:5" ht="48.5" customHeight="1" x14ac:dyDescent="0.2">
      <c r="A24" s="46" t="s">
        <v>452</v>
      </c>
      <c r="B24" s="68" t="s">
        <v>112</v>
      </c>
      <c r="C24" s="87" t="s">
        <v>499</v>
      </c>
      <c r="D24" s="250"/>
      <c r="E24" s="259"/>
    </row>
    <row r="25" spans="1:5" ht="42" customHeight="1" x14ac:dyDescent="0.2">
      <c r="A25" s="46" t="s">
        <v>453</v>
      </c>
      <c r="B25" s="81" t="s">
        <v>113</v>
      </c>
      <c r="C25" s="87" t="s">
        <v>500</v>
      </c>
      <c r="D25" s="250"/>
      <c r="E25" s="259"/>
    </row>
    <row r="26" spans="1:5" ht="49.25" customHeight="1" x14ac:dyDescent="0.2">
      <c r="A26" s="46" t="s">
        <v>456</v>
      </c>
      <c r="B26" s="81" t="s">
        <v>114</v>
      </c>
      <c r="C26" s="87" t="s">
        <v>501</v>
      </c>
      <c r="D26" s="250"/>
      <c r="E26" s="259"/>
    </row>
    <row r="27" spans="1:5" ht="39" x14ac:dyDescent="0.2">
      <c r="A27" s="46" t="s">
        <v>457</v>
      </c>
      <c r="B27" s="81" t="s">
        <v>140</v>
      </c>
      <c r="C27" s="14"/>
      <c r="D27" s="250"/>
      <c r="E27" s="259"/>
    </row>
    <row r="28" spans="1:5" ht="26" x14ac:dyDescent="0.2">
      <c r="A28" s="46"/>
      <c r="B28" s="81" t="s">
        <v>202</v>
      </c>
      <c r="C28" s="14"/>
      <c r="D28" s="250"/>
      <c r="E28" s="260"/>
    </row>
    <row r="29" spans="1:5" ht="47.5" customHeight="1" x14ac:dyDescent="0.2">
      <c r="A29" s="46" t="s">
        <v>455</v>
      </c>
      <c r="B29" s="94" t="s">
        <v>127</v>
      </c>
      <c r="C29" s="82"/>
      <c r="D29" s="250"/>
      <c r="E29" s="46" t="s">
        <v>115</v>
      </c>
    </row>
    <row r="30" spans="1:5" ht="114" customHeight="1" x14ac:dyDescent="0.2">
      <c r="A30" s="46" t="s">
        <v>454</v>
      </c>
      <c r="B30" s="94" t="s">
        <v>137</v>
      </c>
      <c r="C30" s="70"/>
      <c r="D30" s="250"/>
      <c r="E30" s="83" t="str">
        <f>E17</f>
        <v xml:space="preserve">, </v>
      </c>
    </row>
    <row r="32" spans="1:5" s="152" customFormat="1" x14ac:dyDescent="0.2">
      <c r="A32" s="150"/>
      <c r="B32" s="254" t="s">
        <v>462</v>
      </c>
      <c r="C32" s="254"/>
      <c r="D32" s="254"/>
      <c r="E32" s="254"/>
    </row>
    <row r="33" spans="1:6" s="152" customFormat="1" ht="28.75" customHeight="1" x14ac:dyDescent="0.2">
      <c r="A33" s="150"/>
      <c r="B33" s="151" t="s">
        <v>463</v>
      </c>
      <c r="C33" s="254" t="s">
        <v>464</v>
      </c>
      <c r="D33" s="254"/>
      <c r="E33" s="254"/>
    </row>
    <row r="34" spans="1:6" s="152" customFormat="1" ht="48" x14ac:dyDescent="0.2">
      <c r="A34" s="151" t="s">
        <v>63</v>
      </c>
      <c r="B34" s="153" t="s">
        <v>465</v>
      </c>
      <c r="C34" s="253" t="s">
        <v>466</v>
      </c>
      <c r="D34" s="253"/>
      <c r="E34" s="253"/>
    </row>
    <row r="35" spans="1:6" s="152" customFormat="1" ht="168.5" customHeight="1" x14ac:dyDescent="0.2">
      <c r="A35" s="151" t="s">
        <v>64</v>
      </c>
      <c r="B35" s="153" t="s">
        <v>467</v>
      </c>
      <c r="C35" s="253" t="s">
        <v>468</v>
      </c>
      <c r="D35" s="253"/>
      <c r="E35" s="253"/>
    </row>
    <row r="36" spans="1:6" s="152" customFormat="1" ht="32" x14ac:dyDescent="0.2">
      <c r="A36" s="151" t="s">
        <v>65</v>
      </c>
      <c r="B36" s="153" t="s">
        <v>469</v>
      </c>
      <c r="C36" s="253" t="s">
        <v>466</v>
      </c>
      <c r="D36" s="253"/>
      <c r="E36" s="253"/>
    </row>
    <row r="37" spans="1:6" s="152" customFormat="1" ht="57.5" customHeight="1" x14ac:dyDescent="0.2">
      <c r="A37" s="151" t="s">
        <v>492</v>
      </c>
      <c r="B37" s="253" t="s">
        <v>470</v>
      </c>
      <c r="C37" s="253"/>
      <c r="D37" s="253"/>
      <c r="E37" s="253"/>
    </row>
    <row r="38" spans="1:6" s="152" customFormat="1" x14ac:dyDescent="0.2"/>
    <row r="39" spans="1:6" s="152" customFormat="1" ht="32" x14ac:dyDescent="0.2">
      <c r="A39" s="254" t="s">
        <v>471</v>
      </c>
      <c r="B39" s="254"/>
      <c r="C39" s="151" t="s">
        <v>472</v>
      </c>
    </row>
    <row r="40" spans="1:6" s="152" customFormat="1" ht="16" x14ac:dyDescent="0.2">
      <c r="A40" s="281" t="s">
        <v>473</v>
      </c>
      <c r="B40" s="281"/>
      <c r="C40" s="154" t="s">
        <v>474</v>
      </c>
    </row>
    <row r="41" spans="1:6" s="152" customFormat="1" x14ac:dyDescent="0.2">
      <c r="A41" s="281" t="s">
        <v>475</v>
      </c>
      <c r="B41" s="281"/>
      <c r="C41" s="155">
        <v>13</v>
      </c>
    </row>
    <row r="42" spans="1:6" s="152" customFormat="1" x14ac:dyDescent="0.2">
      <c r="A42" s="281" t="s">
        <v>476</v>
      </c>
      <c r="B42" s="281"/>
      <c r="C42" s="155">
        <v>27</v>
      </c>
    </row>
    <row r="43" spans="1:6" s="152" customFormat="1" x14ac:dyDescent="0.2">
      <c r="A43" s="281" t="s">
        <v>477</v>
      </c>
      <c r="B43" s="281"/>
      <c r="C43" s="155">
        <v>28</v>
      </c>
    </row>
    <row r="44" spans="1:6" s="152" customFormat="1" ht="16" thickBot="1" x14ac:dyDescent="0.25"/>
    <row r="45" spans="1:6" s="152" customFormat="1" x14ac:dyDescent="0.2">
      <c r="A45" s="272" t="s">
        <v>478</v>
      </c>
      <c r="B45" s="273"/>
      <c r="C45" s="273"/>
      <c r="D45" s="273"/>
      <c r="E45" s="274"/>
      <c r="F45" s="275" t="s">
        <v>479</v>
      </c>
    </row>
    <row r="46" spans="1:6" s="152" customFormat="1" ht="16" thickBot="1" x14ac:dyDescent="0.25">
      <c r="A46" s="278" t="s">
        <v>480</v>
      </c>
      <c r="B46" s="279"/>
      <c r="C46" s="279"/>
      <c r="D46" s="279"/>
      <c r="E46" s="280"/>
      <c r="F46" s="276"/>
    </row>
    <row r="47" spans="1:6" s="152" customFormat="1" ht="64" x14ac:dyDescent="0.2">
      <c r="A47" s="146" t="s">
        <v>488</v>
      </c>
      <c r="B47" s="275" t="s">
        <v>489</v>
      </c>
      <c r="C47" s="275" t="s">
        <v>490</v>
      </c>
      <c r="D47" s="275" t="s">
        <v>481</v>
      </c>
      <c r="E47" s="275" t="s">
        <v>491</v>
      </c>
      <c r="F47" s="276"/>
    </row>
    <row r="48" spans="1:6" s="152" customFormat="1" ht="141.5" customHeight="1" thickBot="1" x14ac:dyDescent="0.25">
      <c r="A48" s="148" t="s">
        <v>482</v>
      </c>
      <c r="B48" s="277"/>
      <c r="C48" s="277"/>
      <c r="D48" s="277"/>
      <c r="E48" s="277"/>
      <c r="F48" s="277"/>
    </row>
    <row r="49" spans="1:6" s="152" customFormat="1" ht="16" x14ac:dyDescent="0.2">
      <c r="A49" s="275" t="s">
        <v>483</v>
      </c>
      <c r="B49" s="275">
        <v>5</v>
      </c>
      <c r="C49" s="275">
        <v>26</v>
      </c>
      <c r="D49" s="275">
        <v>30</v>
      </c>
      <c r="E49" s="275" t="s">
        <v>484</v>
      </c>
      <c r="F49" s="146" t="s">
        <v>485</v>
      </c>
    </row>
    <row r="50" spans="1:6" s="152" customFormat="1" ht="16" x14ac:dyDescent="0.2">
      <c r="A50" s="276"/>
      <c r="B50" s="276"/>
      <c r="C50" s="276"/>
      <c r="D50" s="276"/>
      <c r="E50" s="276"/>
      <c r="F50" s="147" t="s">
        <v>486</v>
      </c>
    </row>
    <row r="51" spans="1:6" s="152" customFormat="1" ht="17" thickBot="1" x14ac:dyDescent="0.25">
      <c r="A51" s="277"/>
      <c r="B51" s="277"/>
      <c r="C51" s="277"/>
      <c r="D51" s="277"/>
      <c r="E51" s="277"/>
      <c r="F51" s="149" t="s">
        <v>487</v>
      </c>
    </row>
  </sheetData>
  <mergeCells count="36">
    <mergeCell ref="A39:B39"/>
    <mergeCell ref="A40:B40"/>
    <mergeCell ref="A41:B41"/>
    <mergeCell ref="A42:B42"/>
    <mergeCell ref="A43:B43"/>
    <mergeCell ref="A49:A51"/>
    <mergeCell ref="B49:B51"/>
    <mergeCell ref="C49:C51"/>
    <mergeCell ref="D49:D51"/>
    <mergeCell ref="E49:E51"/>
    <mergeCell ref="A45:E45"/>
    <mergeCell ref="F45:F48"/>
    <mergeCell ref="A46:E46"/>
    <mergeCell ref="B47:B48"/>
    <mergeCell ref="C47:C48"/>
    <mergeCell ref="D47:D48"/>
    <mergeCell ref="E47:E48"/>
    <mergeCell ref="D11:E11"/>
    <mergeCell ref="A15:E15"/>
    <mergeCell ref="E17:E28"/>
    <mergeCell ref="B5:E5"/>
    <mergeCell ref="B6:E6"/>
    <mergeCell ref="B7:E7"/>
    <mergeCell ref="B8:E8"/>
    <mergeCell ref="B9:E9"/>
    <mergeCell ref="A12:B12"/>
    <mergeCell ref="C12:E12"/>
    <mergeCell ref="B10:E10"/>
    <mergeCell ref="B16:E16"/>
    <mergeCell ref="D17:D30"/>
    <mergeCell ref="B37:E37"/>
    <mergeCell ref="C35:E35"/>
    <mergeCell ref="C34:E34"/>
    <mergeCell ref="C33:E33"/>
    <mergeCell ref="B32:E32"/>
    <mergeCell ref="C36:E36"/>
  </mergeCells>
  <pageMargins left="0.7" right="0.7" top="0.75" bottom="0.75" header="0.3" footer="0.3"/>
  <pageSetup paperSize="9" scale="68"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74F89-BE55-4543-9D79-D013AC3265B0}">
  <sheetPr codeName="Feuil4">
    <pageSetUpPr fitToPage="1"/>
  </sheetPr>
  <dimension ref="A1:Y206"/>
  <sheetViews>
    <sheetView zoomScaleNormal="100" workbookViewId="0">
      <selection activeCell="J5" sqref="J5:J10"/>
    </sheetView>
  </sheetViews>
  <sheetFormatPr baseColWidth="10" defaultColWidth="11.5" defaultRowHeight="15" x14ac:dyDescent="0.2"/>
  <cols>
    <col min="1" max="1" width="9.1640625" style="1" customWidth="1"/>
    <col min="2" max="2" width="3" style="1" customWidth="1"/>
    <col min="3" max="3" width="3.1640625" style="1" customWidth="1"/>
    <col min="4" max="5" width="4.1640625" style="1" customWidth="1"/>
    <col min="6" max="6" width="12.5" style="1" hidden="1" customWidth="1"/>
    <col min="7" max="7" width="23.5" style="1" customWidth="1"/>
    <col min="8" max="8" width="26.83203125" style="1" customWidth="1"/>
    <col min="9" max="9" width="27.1640625" style="1" customWidth="1"/>
    <col min="10" max="10" width="22" style="1" customWidth="1"/>
    <col min="11" max="11" width="26" style="1" customWidth="1"/>
    <col min="12" max="12" width="50.83203125" style="1" customWidth="1"/>
    <col min="13" max="13" width="4.5" style="1" customWidth="1"/>
    <col min="14" max="14" width="50.83203125" style="1" customWidth="1"/>
    <col min="15" max="15" width="4.5" style="1" customWidth="1"/>
    <col min="16" max="16" width="50.83203125" style="1" customWidth="1"/>
    <col min="17" max="17" width="4.5" style="1" customWidth="1"/>
    <col min="18" max="18" width="50.83203125" style="1" customWidth="1"/>
    <col min="19" max="19" width="4.5" style="1" customWidth="1"/>
    <col min="20" max="20" width="29.83203125" style="1" customWidth="1"/>
    <col min="21" max="21" width="11.5" style="1"/>
    <col min="22" max="22" width="11.5" style="131" customWidth="1"/>
    <col min="23" max="16384" width="11.5" style="1"/>
  </cols>
  <sheetData>
    <row r="1" spans="1:25" ht="64.75" customHeight="1" thickBot="1" x14ac:dyDescent="0.25">
      <c r="P1"/>
      <c r="Q1"/>
    </row>
    <row r="2" spans="1:25" ht="16" thickBot="1" x14ac:dyDescent="0.25">
      <c r="A2" s="135" t="s">
        <v>24</v>
      </c>
      <c r="B2" s="292" t="str">
        <f>IF('OPAC multisite'!E10="",OPAC!B12&amp; ", "&amp; OPAC!B13 &amp; ", " &amp; OPAC!B14 &amp; ", " &amp; OPAC!B15,OPAC!B12&amp; ", "&amp; OPAC!B13 &amp; ", " &amp; OPAC!B14 &amp; ", " &amp; OPAC!B15 &amp; ", " &amp; 'OPAC multisite'!F11)</f>
        <v xml:space="preserve">, , , , </v>
      </c>
      <c r="C2" s="293"/>
      <c r="D2" s="293"/>
      <c r="E2" s="293"/>
      <c r="F2" s="293"/>
      <c r="G2" s="293"/>
      <c r="H2" s="293"/>
      <c r="I2" s="293"/>
      <c r="J2" s="293"/>
      <c r="K2" s="293"/>
      <c r="L2" s="293"/>
      <c r="M2" s="293"/>
      <c r="N2" s="293"/>
      <c r="O2" s="293"/>
      <c r="P2" s="293"/>
      <c r="Q2" s="293"/>
      <c r="R2" s="293"/>
      <c r="S2" s="294"/>
    </row>
    <row r="3" spans="1:25" ht="22" thickBot="1" x14ac:dyDescent="0.25">
      <c r="A3" s="112" t="s">
        <v>25</v>
      </c>
      <c r="B3" s="313" t="s">
        <v>495</v>
      </c>
      <c r="C3" s="314"/>
      <c r="D3" s="314"/>
      <c r="E3" s="314"/>
      <c r="F3" s="314"/>
      <c r="G3" s="314"/>
      <c r="H3" s="314"/>
      <c r="I3" s="314"/>
      <c r="J3" s="314"/>
      <c r="K3" s="314"/>
      <c r="L3" s="137"/>
      <c r="M3" s="137"/>
      <c r="N3" s="137"/>
      <c r="O3" s="137"/>
      <c r="P3" s="137"/>
      <c r="Q3" s="137"/>
      <c r="R3" s="137"/>
      <c r="S3" s="137"/>
    </row>
    <row r="4" spans="1:25" ht="54" customHeight="1" x14ac:dyDescent="0.2">
      <c r="A4" s="113"/>
      <c r="B4" s="114" t="s">
        <v>385</v>
      </c>
      <c r="C4" s="115" t="s">
        <v>0</v>
      </c>
      <c r="D4" s="116" t="s">
        <v>1</v>
      </c>
      <c r="E4" s="117" t="s">
        <v>423</v>
      </c>
      <c r="F4" s="118" t="s">
        <v>2</v>
      </c>
      <c r="G4" s="119" t="s">
        <v>23</v>
      </c>
      <c r="H4" s="119" t="s">
        <v>422</v>
      </c>
      <c r="I4" s="119" t="s">
        <v>204</v>
      </c>
      <c r="J4" s="119" t="s">
        <v>105</v>
      </c>
      <c r="K4" s="119" t="s">
        <v>203</v>
      </c>
      <c r="L4" s="315" t="s">
        <v>424</v>
      </c>
      <c r="M4" s="316"/>
      <c r="N4" s="317" t="s">
        <v>205</v>
      </c>
      <c r="O4" s="318"/>
      <c r="P4" s="297" t="s">
        <v>206</v>
      </c>
      <c r="Q4" s="298"/>
      <c r="R4" s="295" t="s">
        <v>425</v>
      </c>
      <c r="S4" s="296"/>
      <c r="T4" s="123" t="s">
        <v>226</v>
      </c>
      <c r="W4" s="33"/>
      <c r="X4" s="33"/>
      <c r="Y4" s="33"/>
    </row>
    <row r="5" spans="1:25" ht="87" customHeight="1" x14ac:dyDescent="0.2">
      <c r="A5" s="304"/>
      <c r="B5" s="250" t="s">
        <v>3</v>
      </c>
      <c r="C5" s="250" t="s">
        <v>3</v>
      </c>
      <c r="D5" s="250" t="s">
        <v>3</v>
      </c>
      <c r="E5" s="305" t="s">
        <v>3</v>
      </c>
      <c r="F5" s="291" t="s">
        <v>3</v>
      </c>
      <c r="G5" s="300" t="s">
        <v>101</v>
      </c>
      <c r="H5" s="300" t="s">
        <v>141</v>
      </c>
      <c r="I5" s="301" t="s">
        <v>254</v>
      </c>
      <c r="J5" s="250"/>
      <c r="K5" s="2" t="s">
        <v>210</v>
      </c>
      <c r="L5" s="165"/>
      <c r="M5" s="165"/>
      <c r="N5" s="165"/>
      <c r="O5" s="165"/>
      <c r="P5" s="165"/>
      <c r="Q5" s="165"/>
      <c r="R5" s="165"/>
      <c r="S5" s="165"/>
      <c r="T5" s="250" t="s">
        <v>399</v>
      </c>
    </row>
    <row r="6" spans="1:25" ht="32" x14ac:dyDescent="0.2">
      <c r="A6" s="304"/>
      <c r="B6" s="250"/>
      <c r="C6" s="250"/>
      <c r="D6" s="250"/>
      <c r="E6" s="305"/>
      <c r="F6" s="291"/>
      <c r="G6" s="300"/>
      <c r="H6" s="300"/>
      <c r="I6" s="301"/>
      <c r="J6" s="250"/>
      <c r="K6" s="2" t="s">
        <v>211</v>
      </c>
      <c r="L6" s="165"/>
      <c r="M6" s="165"/>
      <c r="N6" s="165"/>
      <c r="O6" s="165"/>
      <c r="P6" s="165"/>
      <c r="Q6" s="165"/>
      <c r="R6" s="165"/>
      <c r="S6" s="165"/>
      <c r="T6" s="250"/>
    </row>
    <row r="7" spans="1:25" ht="32" x14ac:dyDescent="0.2">
      <c r="A7" s="304"/>
      <c r="B7" s="250"/>
      <c r="C7" s="250"/>
      <c r="D7" s="250"/>
      <c r="E7" s="305"/>
      <c r="F7" s="130"/>
      <c r="G7" s="300"/>
      <c r="H7" s="300"/>
      <c r="I7" s="301"/>
      <c r="J7" s="250"/>
      <c r="K7" s="250" t="s">
        <v>265</v>
      </c>
      <c r="L7" s="128" t="s">
        <v>284</v>
      </c>
      <c r="M7" s="128"/>
      <c r="N7" s="128" t="s">
        <v>284</v>
      </c>
      <c r="O7" s="128"/>
      <c r="P7" s="128" t="s">
        <v>286</v>
      </c>
      <c r="Q7" s="128"/>
      <c r="R7" s="128" t="s">
        <v>284</v>
      </c>
      <c r="S7" s="128"/>
      <c r="T7" s="250"/>
    </row>
    <row r="8" spans="1:25" ht="16" x14ac:dyDescent="0.2">
      <c r="A8" s="304"/>
      <c r="B8" s="250"/>
      <c r="C8" s="250"/>
      <c r="D8" s="250"/>
      <c r="E8" s="305"/>
      <c r="F8" s="130"/>
      <c r="G8" s="300"/>
      <c r="H8" s="300"/>
      <c r="I8" s="301"/>
      <c r="J8" s="250"/>
      <c r="K8" s="250"/>
      <c r="L8" s="128" t="s">
        <v>285</v>
      </c>
      <c r="M8" s="128"/>
      <c r="N8" s="128" t="s">
        <v>420</v>
      </c>
      <c r="O8" s="128"/>
      <c r="P8" s="128" t="s">
        <v>285</v>
      </c>
      <c r="Q8" s="128"/>
      <c r="R8" s="128" t="s">
        <v>285</v>
      </c>
      <c r="S8" s="128"/>
      <c r="T8" s="250"/>
    </row>
    <row r="9" spans="1:25" ht="32" x14ac:dyDescent="0.2">
      <c r="A9" s="304"/>
      <c r="B9" s="250"/>
      <c r="C9" s="250"/>
      <c r="D9" s="250"/>
      <c r="E9" s="305"/>
      <c r="F9" s="130"/>
      <c r="G9" s="300"/>
      <c r="H9" s="300"/>
      <c r="I9" s="301"/>
      <c r="J9" s="250"/>
      <c r="K9" s="250"/>
      <c r="L9" s="128" t="s">
        <v>351</v>
      </c>
      <c r="M9" s="128"/>
      <c r="N9" s="287"/>
      <c r="O9" s="287"/>
      <c r="P9" s="128" t="s">
        <v>355</v>
      </c>
      <c r="Q9" s="128"/>
      <c r="R9" s="128" t="s">
        <v>355</v>
      </c>
      <c r="S9" s="128"/>
      <c r="T9" s="250"/>
    </row>
    <row r="10" spans="1:25" ht="16" x14ac:dyDescent="0.2">
      <c r="A10" s="304"/>
      <c r="B10" s="250"/>
      <c r="C10" s="250"/>
      <c r="D10" s="250"/>
      <c r="E10" s="305"/>
      <c r="F10" s="130"/>
      <c r="G10" s="300"/>
      <c r="H10" s="300"/>
      <c r="I10" s="301"/>
      <c r="J10" s="250"/>
      <c r="K10" s="250"/>
      <c r="L10" s="307"/>
      <c r="M10" s="308"/>
      <c r="N10" s="287"/>
      <c r="O10" s="287"/>
      <c r="P10" s="128" t="s">
        <v>356</v>
      </c>
      <c r="Q10" s="128"/>
      <c r="R10" s="287"/>
      <c r="S10" s="287"/>
      <c r="T10" s="250"/>
    </row>
    <row r="11" spans="1:25" ht="48" customHeight="1" x14ac:dyDescent="0.2">
      <c r="A11" s="304"/>
      <c r="B11" s="250" t="s">
        <v>3</v>
      </c>
      <c r="C11" s="250" t="s">
        <v>3</v>
      </c>
      <c r="D11" s="250" t="s">
        <v>3</v>
      </c>
      <c r="E11" s="250" t="s">
        <v>3</v>
      </c>
      <c r="F11" s="291" t="s">
        <v>3</v>
      </c>
      <c r="G11" s="299" t="s">
        <v>14</v>
      </c>
      <c r="H11" s="300" t="s">
        <v>142</v>
      </c>
      <c r="I11" s="301" t="s">
        <v>255</v>
      </c>
      <c r="J11" s="250"/>
      <c r="K11" s="2" t="s">
        <v>210</v>
      </c>
      <c r="L11" s="165"/>
      <c r="M11" s="165"/>
      <c r="N11" s="165"/>
      <c r="O11" s="165"/>
      <c r="P11" s="165"/>
      <c r="Q11" s="165"/>
      <c r="R11" s="165"/>
      <c r="S11" s="165"/>
      <c r="T11" s="250" t="s">
        <v>400</v>
      </c>
    </row>
    <row r="12" spans="1:25" ht="32" x14ac:dyDescent="0.2">
      <c r="A12" s="304"/>
      <c r="B12" s="250"/>
      <c r="C12" s="250"/>
      <c r="D12" s="250"/>
      <c r="E12" s="250"/>
      <c r="F12" s="291"/>
      <c r="G12" s="299"/>
      <c r="H12" s="300"/>
      <c r="I12" s="301"/>
      <c r="J12" s="250"/>
      <c r="K12" s="2" t="s">
        <v>211</v>
      </c>
      <c r="L12" s="165"/>
      <c r="M12" s="165"/>
      <c r="N12" s="165"/>
      <c r="O12" s="165"/>
      <c r="P12" s="165"/>
      <c r="Q12" s="165"/>
      <c r="R12" s="165"/>
      <c r="S12" s="165"/>
      <c r="T12" s="250"/>
    </row>
    <row r="13" spans="1:25" ht="32" x14ac:dyDescent="0.2">
      <c r="A13" s="304"/>
      <c r="B13" s="250"/>
      <c r="C13" s="250"/>
      <c r="D13" s="250"/>
      <c r="E13" s="250"/>
      <c r="F13" s="130"/>
      <c r="G13" s="299"/>
      <c r="H13" s="300"/>
      <c r="I13" s="301"/>
      <c r="J13" s="250"/>
      <c r="K13" s="2"/>
      <c r="L13" s="128" t="s">
        <v>381</v>
      </c>
      <c r="M13" s="128"/>
      <c r="N13" s="128" t="s">
        <v>381</v>
      </c>
      <c r="O13" s="128"/>
      <c r="P13" s="128" t="s">
        <v>381</v>
      </c>
      <c r="Q13" s="128"/>
      <c r="R13" s="128" t="s">
        <v>435</v>
      </c>
      <c r="S13" s="128"/>
      <c r="T13" s="250"/>
    </row>
    <row r="14" spans="1:25" ht="27.5" customHeight="1" x14ac:dyDescent="0.2">
      <c r="A14" s="304"/>
      <c r="B14" s="250"/>
      <c r="C14" s="250"/>
      <c r="D14" s="250"/>
      <c r="E14" s="250"/>
      <c r="F14" s="130"/>
      <c r="G14" s="299"/>
      <c r="H14" s="300"/>
      <c r="I14" s="301"/>
      <c r="J14" s="250"/>
      <c r="K14" s="2" t="s">
        <v>265</v>
      </c>
      <c r="L14" s="128" t="s">
        <v>287</v>
      </c>
      <c r="M14" s="128"/>
      <c r="N14" s="128" t="s">
        <v>287</v>
      </c>
      <c r="O14" s="128"/>
      <c r="P14" s="128" t="s">
        <v>287</v>
      </c>
      <c r="Q14" s="128"/>
      <c r="R14" s="128" t="s">
        <v>436</v>
      </c>
      <c r="S14" s="128"/>
      <c r="T14" s="250"/>
    </row>
    <row r="15" spans="1:25" ht="48" x14ac:dyDescent="0.2">
      <c r="A15" s="304"/>
      <c r="B15" s="250" t="s">
        <v>3</v>
      </c>
      <c r="C15" s="304"/>
      <c r="D15" s="250" t="s">
        <v>3</v>
      </c>
      <c r="E15" s="250" t="s">
        <v>3</v>
      </c>
      <c r="F15" s="291" t="s">
        <v>3</v>
      </c>
      <c r="G15" s="299" t="s">
        <v>15</v>
      </c>
      <c r="H15" s="300" t="s">
        <v>143</v>
      </c>
      <c r="I15" s="301" t="s">
        <v>256</v>
      </c>
      <c r="J15" s="250"/>
      <c r="K15" s="2" t="s">
        <v>210</v>
      </c>
      <c r="L15" s="165"/>
      <c r="M15" s="165"/>
      <c r="N15" s="287"/>
      <c r="O15" s="287"/>
      <c r="P15" s="165"/>
      <c r="Q15" s="165"/>
      <c r="R15" s="165"/>
      <c r="S15" s="165"/>
      <c r="T15" s="250" t="s">
        <v>401</v>
      </c>
    </row>
    <row r="16" spans="1:25" ht="32" x14ac:dyDescent="0.2">
      <c r="A16" s="304"/>
      <c r="B16" s="250"/>
      <c r="C16" s="304"/>
      <c r="D16" s="250"/>
      <c r="E16" s="250"/>
      <c r="F16" s="291"/>
      <c r="G16" s="299"/>
      <c r="H16" s="300"/>
      <c r="I16" s="301"/>
      <c r="J16" s="250"/>
      <c r="K16" s="2" t="s">
        <v>211</v>
      </c>
      <c r="L16" s="165"/>
      <c r="M16" s="165"/>
      <c r="N16" s="287"/>
      <c r="O16" s="287"/>
      <c r="P16" s="165"/>
      <c r="Q16" s="165"/>
      <c r="R16" s="165"/>
      <c r="S16" s="165"/>
      <c r="T16" s="250"/>
    </row>
    <row r="17" spans="1:20" ht="32" x14ac:dyDescent="0.2">
      <c r="A17" s="304"/>
      <c r="B17" s="250"/>
      <c r="C17" s="304"/>
      <c r="D17" s="250"/>
      <c r="E17" s="250"/>
      <c r="F17" s="130"/>
      <c r="G17" s="299"/>
      <c r="H17" s="300"/>
      <c r="I17" s="301"/>
      <c r="J17" s="250"/>
      <c r="K17" s="250" t="s">
        <v>265</v>
      </c>
      <c r="L17" s="128" t="s">
        <v>288</v>
      </c>
      <c r="M17" s="128"/>
      <c r="N17" s="287"/>
      <c r="O17" s="287"/>
      <c r="P17" s="128" t="s">
        <v>288</v>
      </c>
      <c r="Q17" s="128"/>
      <c r="R17" s="128" t="s">
        <v>288</v>
      </c>
      <c r="S17" s="128"/>
      <c r="T17" s="250"/>
    </row>
    <row r="18" spans="1:20" ht="32" x14ac:dyDescent="0.2">
      <c r="A18" s="304"/>
      <c r="B18" s="250"/>
      <c r="C18" s="304"/>
      <c r="D18" s="250"/>
      <c r="E18" s="250"/>
      <c r="F18" s="130"/>
      <c r="G18" s="299"/>
      <c r="H18" s="300"/>
      <c r="I18" s="301"/>
      <c r="J18" s="250"/>
      <c r="K18" s="250"/>
      <c r="L18" s="128" t="s">
        <v>289</v>
      </c>
      <c r="M18" s="128"/>
      <c r="N18" s="287"/>
      <c r="O18" s="287"/>
      <c r="P18" s="128" t="s">
        <v>289</v>
      </c>
      <c r="Q18" s="128"/>
      <c r="R18" s="128" t="s">
        <v>289</v>
      </c>
      <c r="S18" s="128"/>
      <c r="T18" s="250"/>
    </row>
    <row r="19" spans="1:20" ht="32" x14ac:dyDescent="0.2">
      <c r="A19" s="304"/>
      <c r="B19" s="250"/>
      <c r="C19" s="304"/>
      <c r="D19" s="250"/>
      <c r="E19" s="250"/>
      <c r="F19" s="130"/>
      <c r="G19" s="299"/>
      <c r="H19" s="300"/>
      <c r="I19" s="301"/>
      <c r="J19" s="250"/>
      <c r="K19" s="250"/>
      <c r="L19" s="128" t="s">
        <v>290</v>
      </c>
      <c r="M19" s="128"/>
      <c r="N19" s="287"/>
      <c r="O19" s="287"/>
      <c r="P19" s="128" t="s">
        <v>290</v>
      </c>
      <c r="Q19" s="128"/>
      <c r="R19" s="128" t="s">
        <v>290</v>
      </c>
      <c r="S19" s="128"/>
      <c r="T19" s="250"/>
    </row>
    <row r="20" spans="1:20" ht="48" hidden="1" x14ac:dyDescent="0.2">
      <c r="A20" s="304"/>
      <c r="B20" s="250" t="s">
        <v>3</v>
      </c>
      <c r="C20" s="250" t="s">
        <v>3</v>
      </c>
      <c r="D20" s="250" t="s">
        <v>3</v>
      </c>
      <c r="E20" s="250" t="s">
        <v>3</v>
      </c>
      <c r="F20" s="291"/>
      <c r="G20" s="300" t="s">
        <v>56</v>
      </c>
      <c r="H20" s="303" t="s">
        <v>144</v>
      </c>
      <c r="I20" s="301" t="s">
        <v>177</v>
      </c>
      <c r="J20" s="250"/>
      <c r="K20" s="2" t="s">
        <v>210</v>
      </c>
      <c r="L20" s="165"/>
      <c r="M20" s="165"/>
      <c r="N20" s="165"/>
      <c r="O20" s="165"/>
      <c r="P20" s="165"/>
      <c r="Q20" s="165"/>
      <c r="R20" s="165"/>
      <c r="S20" s="165"/>
      <c r="T20" s="250" t="s">
        <v>403</v>
      </c>
    </row>
    <row r="21" spans="1:20" ht="32" hidden="1" x14ac:dyDescent="0.2">
      <c r="A21" s="304"/>
      <c r="B21" s="250"/>
      <c r="C21" s="250"/>
      <c r="D21" s="250"/>
      <c r="E21" s="250"/>
      <c r="F21" s="291"/>
      <c r="G21" s="300"/>
      <c r="H21" s="303"/>
      <c r="I21" s="301"/>
      <c r="J21" s="250"/>
      <c r="K21" s="2" t="s">
        <v>211</v>
      </c>
      <c r="L21" s="165"/>
      <c r="M21" s="165"/>
      <c r="N21" s="165"/>
      <c r="O21" s="165"/>
      <c r="P21" s="165"/>
      <c r="Q21" s="165"/>
      <c r="R21" s="165"/>
      <c r="S21" s="165"/>
      <c r="T21" s="250"/>
    </row>
    <row r="22" spans="1:20" ht="16" hidden="1" x14ac:dyDescent="0.2">
      <c r="A22" s="304"/>
      <c r="B22" s="250"/>
      <c r="C22" s="250"/>
      <c r="D22" s="250"/>
      <c r="E22" s="250"/>
      <c r="F22" s="130"/>
      <c r="G22" s="300"/>
      <c r="H22" s="303"/>
      <c r="I22" s="301"/>
      <c r="J22" s="250"/>
      <c r="K22" s="250" t="s">
        <v>265</v>
      </c>
      <c r="L22" s="128" t="s">
        <v>291</v>
      </c>
      <c r="M22" s="128"/>
      <c r="N22" s="128" t="s">
        <v>291</v>
      </c>
      <c r="O22" s="128"/>
      <c r="P22" s="128" t="s">
        <v>291</v>
      </c>
      <c r="Q22" s="128"/>
      <c r="R22" s="128" t="s">
        <v>291</v>
      </c>
      <c r="S22" s="128"/>
      <c r="T22" s="250"/>
    </row>
    <row r="23" spans="1:20" ht="16" hidden="1" x14ac:dyDescent="0.2">
      <c r="A23" s="304"/>
      <c r="B23" s="250"/>
      <c r="C23" s="250"/>
      <c r="D23" s="250"/>
      <c r="E23" s="250"/>
      <c r="F23" s="130"/>
      <c r="G23" s="300"/>
      <c r="H23" s="303"/>
      <c r="I23" s="301"/>
      <c r="J23" s="250"/>
      <c r="K23" s="250"/>
      <c r="L23" s="128" t="s">
        <v>437</v>
      </c>
      <c r="M23" s="128"/>
      <c r="N23" s="128" t="s">
        <v>437</v>
      </c>
      <c r="O23" s="128"/>
      <c r="P23" s="128" t="s">
        <v>437</v>
      </c>
      <c r="Q23" s="128"/>
      <c r="R23" s="128" t="s">
        <v>437</v>
      </c>
      <c r="S23" s="128"/>
      <c r="T23" s="250"/>
    </row>
    <row r="24" spans="1:20" ht="32" hidden="1" x14ac:dyDescent="0.2">
      <c r="A24" s="304"/>
      <c r="B24" s="250"/>
      <c r="C24" s="250"/>
      <c r="D24" s="250"/>
      <c r="E24" s="250"/>
      <c r="F24" s="130"/>
      <c r="G24" s="300"/>
      <c r="H24" s="303"/>
      <c r="I24" s="301"/>
      <c r="J24" s="250"/>
      <c r="K24" s="250"/>
      <c r="L24" s="128" t="s">
        <v>391</v>
      </c>
      <c r="M24" s="128"/>
      <c r="N24" s="128" t="s">
        <v>391</v>
      </c>
      <c r="O24" s="128"/>
      <c r="P24" s="128" t="s">
        <v>391</v>
      </c>
      <c r="Q24" s="128"/>
      <c r="R24" s="128" t="s">
        <v>391</v>
      </c>
      <c r="S24" s="128"/>
      <c r="T24" s="250"/>
    </row>
    <row r="25" spans="1:20" ht="16" hidden="1" x14ac:dyDescent="0.2">
      <c r="A25" s="304"/>
      <c r="B25" s="250"/>
      <c r="C25" s="250"/>
      <c r="D25" s="250"/>
      <c r="E25" s="250"/>
      <c r="F25" s="130"/>
      <c r="G25" s="300"/>
      <c r="H25" s="303"/>
      <c r="I25" s="301"/>
      <c r="J25" s="250"/>
      <c r="K25" s="250"/>
      <c r="L25" s="128" t="s">
        <v>353</v>
      </c>
      <c r="M25" s="128"/>
      <c r="N25" s="128" t="s">
        <v>357</v>
      </c>
      <c r="O25" s="128"/>
      <c r="P25" s="287"/>
      <c r="Q25" s="287"/>
      <c r="R25" s="128" t="s">
        <v>354</v>
      </c>
      <c r="S25" s="128"/>
      <c r="T25" s="250"/>
    </row>
    <row r="26" spans="1:20" ht="48" hidden="1" x14ac:dyDescent="0.2">
      <c r="A26" s="304"/>
      <c r="B26" s="250" t="s">
        <v>3</v>
      </c>
      <c r="C26" s="250" t="s">
        <v>3</v>
      </c>
      <c r="D26" s="250" t="s">
        <v>3</v>
      </c>
      <c r="E26" s="250" t="s">
        <v>3</v>
      </c>
      <c r="F26" s="291"/>
      <c r="G26" s="300" t="s">
        <v>57</v>
      </c>
      <c r="H26" s="303" t="s">
        <v>145</v>
      </c>
      <c r="I26" s="301" t="s">
        <v>257</v>
      </c>
      <c r="J26" s="250"/>
      <c r="K26" s="2" t="s">
        <v>210</v>
      </c>
      <c r="L26" s="165"/>
      <c r="M26" s="165"/>
      <c r="N26" s="165"/>
      <c r="O26" s="165"/>
      <c r="P26" s="165"/>
      <c r="Q26" s="165"/>
      <c r="R26" s="165"/>
      <c r="S26" s="165"/>
      <c r="T26" s="250" t="s">
        <v>386</v>
      </c>
    </row>
    <row r="27" spans="1:20" ht="32" hidden="1" x14ac:dyDescent="0.2">
      <c r="A27" s="304"/>
      <c r="B27" s="250"/>
      <c r="C27" s="250"/>
      <c r="D27" s="250"/>
      <c r="E27" s="250"/>
      <c r="F27" s="291"/>
      <c r="G27" s="300"/>
      <c r="H27" s="303"/>
      <c r="I27" s="301"/>
      <c r="J27" s="250"/>
      <c r="K27" s="2" t="s">
        <v>211</v>
      </c>
      <c r="L27" s="165"/>
      <c r="M27" s="165"/>
      <c r="N27" s="165"/>
      <c r="O27" s="165"/>
      <c r="P27" s="165"/>
      <c r="Q27" s="165"/>
      <c r="R27" s="165"/>
      <c r="S27" s="165"/>
      <c r="T27" s="250"/>
    </row>
    <row r="28" spans="1:20" ht="16" hidden="1" x14ac:dyDescent="0.2">
      <c r="A28" s="304"/>
      <c r="B28" s="250"/>
      <c r="C28" s="250"/>
      <c r="D28" s="250"/>
      <c r="E28" s="250"/>
      <c r="F28" s="130"/>
      <c r="G28" s="300"/>
      <c r="H28" s="303"/>
      <c r="I28" s="301"/>
      <c r="J28" s="250"/>
      <c r="K28" s="250" t="s">
        <v>265</v>
      </c>
      <c r="L28" s="128" t="s">
        <v>438</v>
      </c>
      <c r="M28" s="128"/>
      <c r="N28" s="128" t="s">
        <v>438</v>
      </c>
      <c r="O28" s="128"/>
      <c r="P28" s="128" t="s">
        <v>438</v>
      </c>
      <c r="Q28" s="128"/>
      <c r="R28" s="128" t="s">
        <v>438</v>
      </c>
      <c r="S28" s="128"/>
      <c r="T28" s="250"/>
    </row>
    <row r="29" spans="1:20" ht="16" hidden="1" x14ac:dyDescent="0.2">
      <c r="A29" s="304"/>
      <c r="B29" s="250"/>
      <c r="C29" s="250"/>
      <c r="D29" s="250"/>
      <c r="E29" s="250"/>
      <c r="F29" s="130"/>
      <c r="G29" s="300"/>
      <c r="H29" s="303"/>
      <c r="I29" s="301"/>
      <c r="J29" s="250"/>
      <c r="K29" s="250"/>
      <c r="L29" s="128" t="s">
        <v>344</v>
      </c>
      <c r="M29" s="128"/>
      <c r="N29" s="128" t="s">
        <v>344</v>
      </c>
      <c r="O29" s="128"/>
      <c r="P29" s="128" t="s">
        <v>344</v>
      </c>
      <c r="Q29" s="128"/>
      <c r="R29" s="128" t="s">
        <v>344</v>
      </c>
      <c r="S29" s="128"/>
      <c r="T29" s="250"/>
    </row>
    <row r="30" spans="1:20" ht="32" hidden="1" x14ac:dyDescent="0.2">
      <c r="A30" s="304"/>
      <c r="B30" s="250"/>
      <c r="C30" s="250"/>
      <c r="D30" s="250"/>
      <c r="E30" s="250"/>
      <c r="F30" s="130"/>
      <c r="G30" s="300"/>
      <c r="H30" s="303"/>
      <c r="I30" s="301"/>
      <c r="J30" s="250"/>
      <c r="K30" s="250"/>
      <c r="L30" s="128" t="s">
        <v>358</v>
      </c>
      <c r="M30" s="128"/>
      <c r="N30" s="128" t="s">
        <v>359</v>
      </c>
      <c r="O30" s="128"/>
      <c r="P30" s="128" t="s">
        <v>361</v>
      </c>
      <c r="Q30" s="128"/>
      <c r="R30" s="128" t="s">
        <v>362</v>
      </c>
      <c r="S30" s="128"/>
      <c r="T30" s="250"/>
    </row>
    <row r="31" spans="1:20" ht="16" hidden="1" x14ac:dyDescent="0.2">
      <c r="A31" s="304"/>
      <c r="B31" s="250"/>
      <c r="C31" s="250"/>
      <c r="D31" s="250"/>
      <c r="E31" s="250"/>
      <c r="F31" s="130"/>
      <c r="G31" s="300"/>
      <c r="H31" s="303"/>
      <c r="I31" s="301"/>
      <c r="J31" s="250"/>
      <c r="K31" s="250"/>
      <c r="L31" s="128" t="s">
        <v>292</v>
      </c>
      <c r="M31" s="128"/>
      <c r="N31" s="128" t="s">
        <v>360</v>
      </c>
      <c r="O31" s="128"/>
      <c r="P31" s="287"/>
      <c r="Q31" s="287"/>
      <c r="R31" s="128" t="s">
        <v>361</v>
      </c>
      <c r="S31" s="128"/>
      <c r="T31" s="250"/>
    </row>
    <row r="32" spans="1:20" ht="43.25" hidden="1" customHeight="1" x14ac:dyDescent="0.2">
      <c r="A32" s="304"/>
      <c r="B32" s="250" t="s">
        <v>3</v>
      </c>
      <c r="C32" s="250" t="s">
        <v>3</v>
      </c>
      <c r="D32" s="250" t="s">
        <v>3</v>
      </c>
      <c r="E32" s="250" t="s">
        <v>3</v>
      </c>
      <c r="F32" s="291"/>
      <c r="G32" s="300" t="s">
        <v>57</v>
      </c>
      <c r="H32" s="303" t="s">
        <v>146</v>
      </c>
      <c r="I32" s="301" t="s">
        <v>178</v>
      </c>
      <c r="J32" s="250"/>
      <c r="K32" s="2" t="s">
        <v>210</v>
      </c>
      <c r="L32" s="165"/>
      <c r="M32" s="165"/>
      <c r="N32" s="165"/>
      <c r="O32" s="165"/>
      <c r="P32" s="165"/>
      <c r="Q32" s="165"/>
      <c r="R32" s="165"/>
      <c r="S32" s="165"/>
      <c r="T32" s="250" t="s">
        <v>404</v>
      </c>
    </row>
    <row r="33" spans="1:20" ht="32" hidden="1" x14ac:dyDescent="0.2">
      <c r="A33" s="304"/>
      <c r="B33" s="250"/>
      <c r="C33" s="250"/>
      <c r="D33" s="250"/>
      <c r="E33" s="250"/>
      <c r="F33" s="291"/>
      <c r="G33" s="300"/>
      <c r="H33" s="303"/>
      <c r="I33" s="301"/>
      <c r="J33" s="250"/>
      <c r="K33" s="2" t="s">
        <v>211</v>
      </c>
      <c r="L33" s="165"/>
      <c r="M33" s="165"/>
      <c r="N33" s="165"/>
      <c r="O33" s="165"/>
      <c r="P33" s="165"/>
      <c r="Q33" s="165"/>
      <c r="R33" s="165"/>
      <c r="S33" s="165"/>
      <c r="T33" s="250"/>
    </row>
    <row r="34" spans="1:20" ht="32" hidden="1" x14ac:dyDescent="0.2">
      <c r="A34" s="304"/>
      <c r="B34" s="250"/>
      <c r="C34" s="250"/>
      <c r="D34" s="250"/>
      <c r="E34" s="250"/>
      <c r="F34" s="130"/>
      <c r="G34" s="300"/>
      <c r="H34" s="303"/>
      <c r="I34" s="301"/>
      <c r="J34" s="250"/>
      <c r="K34" s="250" t="s">
        <v>265</v>
      </c>
      <c r="L34" s="128" t="s">
        <v>293</v>
      </c>
      <c r="M34" s="128"/>
      <c r="N34" s="128" t="s">
        <v>293</v>
      </c>
      <c r="O34" s="128"/>
      <c r="P34" s="128" t="s">
        <v>293</v>
      </c>
      <c r="Q34" s="128"/>
      <c r="R34" s="128" t="s">
        <v>293</v>
      </c>
      <c r="S34" s="128"/>
      <c r="T34" s="250"/>
    </row>
    <row r="35" spans="1:20" ht="32" hidden="1" x14ac:dyDescent="0.2">
      <c r="A35" s="304"/>
      <c r="B35" s="250"/>
      <c r="C35" s="250"/>
      <c r="D35" s="250"/>
      <c r="E35" s="250"/>
      <c r="F35" s="130"/>
      <c r="G35" s="300"/>
      <c r="H35" s="303"/>
      <c r="I35" s="301"/>
      <c r="J35" s="250"/>
      <c r="K35" s="250"/>
      <c r="L35" s="128" t="s">
        <v>294</v>
      </c>
      <c r="M35" s="128"/>
      <c r="N35" s="128" t="s">
        <v>392</v>
      </c>
      <c r="O35" s="128"/>
      <c r="P35" s="128" t="s">
        <v>363</v>
      </c>
      <c r="Q35" s="128"/>
      <c r="R35" s="128" t="s">
        <v>363</v>
      </c>
      <c r="S35" s="128"/>
      <c r="T35" s="250"/>
    </row>
    <row r="36" spans="1:20" ht="32" hidden="1" x14ac:dyDescent="0.2">
      <c r="A36" s="304"/>
      <c r="B36" s="250"/>
      <c r="C36" s="250"/>
      <c r="D36" s="250"/>
      <c r="E36" s="250"/>
      <c r="F36" s="130"/>
      <c r="G36" s="300"/>
      <c r="H36" s="303"/>
      <c r="I36" s="301"/>
      <c r="J36" s="250"/>
      <c r="K36" s="250"/>
      <c r="L36" s="128" t="s">
        <v>392</v>
      </c>
      <c r="M36" s="128"/>
      <c r="N36" s="287"/>
      <c r="O36" s="287"/>
      <c r="P36" s="128" t="s">
        <v>392</v>
      </c>
      <c r="Q36" s="128"/>
      <c r="R36" s="128" t="s">
        <v>392</v>
      </c>
      <c r="S36" s="128"/>
      <c r="T36" s="250"/>
    </row>
    <row r="37" spans="1:20" ht="48" customHeight="1" x14ac:dyDescent="0.2">
      <c r="A37" s="304"/>
      <c r="B37" s="250" t="s">
        <v>3</v>
      </c>
      <c r="C37" s="304"/>
      <c r="D37" s="304"/>
      <c r="E37" s="250" t="s">
        <v>3</v>
      </c>
      <c r="F37" s="291" t="s">
        <v>3</v>
      </c>
      <c r="G37" s="299" t="s">
        <v>207</v>
      </c>
      <c r="H37" s="303" t="s">
        <v>147</v>
      </c>
      <c r="I37" s="301" t="s">
        <v>179</v>
      </c>
      <c r="J37" s="250"/>
      <c r="K37" s="2" t="s">
        <v>210</v>
      </c>
      <c r="L37" s="165"/>
      <c r="M37" s="165"/>
      <c r="N37" s="287"/>
      <c r="O37" s="287"/>
      <c r="P37" s="287"/>
      <c r="Q37" s="287"/>
      <c r="R37" s="165"/>
      <c r="S37" s="165"/>
      <c r="T37" s="250" t="s">
        <v>387</v>
      </c>
    </row>
    <row r="38" spans="1:20" ht="32" x14ac:dyDescent="0.2">
      <c r="A38" s="304"/>
      <c r="B38" s="250"/>
      <c r="C38" s="304"/>
      <c r="D38" s="304"/>
      <c r="E38" s="250"/>
      <c r="F38" s="291"/>
      <c r="G38" s="299"/>
      <c r="H38" s="303"/>
      <c r="I38" s="301"/>
      <c r="J38" s="250"/>
      <c r="K38" s="2" t="s">
        <v>211</v>
      </c>
      <c r="L38" s="165"/>
      <c r="M38" s="165"/>
      <c r="N38" s="287"/>
      <c r="O38" s="287"/>
      <c r="P38" s="287"/>
      <c r="Q38" s="287"/>
      <c r="R38" s="165"/>
      <c r="S38" s="165"/>
      <c r="T38" s="250"/>
    </row>
    <row r="39" spans="1:20" ht="16" x14ac:dyDescent="0.2">
      <c r="A39" s="304"/>
      <c r="B39" s="250"/>
      <c r="C39" s="304"/>
      <c r="D39" s="304"/>
      <c r="E39" s="250"/>
      <c r="F39" s="130"/>
      <c r="G39" s="299"/>
      <c r="H39" s="303"/>
      <c r="I39" s="301"/>
      <c r="J39" s="250"/>
      <c r="K39" s="250" t="s">
        <v>265</v>
      </c>
      <c r="L39" s="128" t="s">
        <v>439</v>
      </c>
      <c r="M39" s="128"/>
      <c r="N39" s="287"/>
      <c r="O39" s="287"/>
      <c r="P39" s="287"/>
      <c r="Q39" s="287"/>
      <c r="R39" s="128" t="s">
        <v>439</v>
      </c>
      <c r="S39" s="128"/>
      <c r="T39" s="250"/>
    </row>
    <row r="40" spans="1:20" ht="16" x14ac:dyDescent="0.2">
      <c r="A40" s="304"/>
      <c r="B40" s="250"/>
      <c r="C40" s="304"/>
      <c r="D40" s="304"/>
      <c r="E40" s="250"/>
      <c r="F40" s="130"/>
      <c r="G40" s="299"/>
      <c r="H40" s="303"/>
      <c r="I40" s="301"/>
      <c r="J40" s="250"/>
      <c r="K40" s="250"/>
      <c r="L40" s="128" t="s">
        <v>295</v>
      </c>
      <c r="M40" s="128"/>
      <c r="N40" s="287"/>
      <c r="O40" s="287"/>
      <c r="P40" s="287"/>
      <c r="Q40" s="287"/>
      <c r="R40" s="128" t="s">
        <v>295</v>
      </c>
      <c r="S40" s="128"/>
      <c r="T40" s="250"/>
    </row>
    <row r="41" spans="1:20" s="84" customFormat="1" ht="43.25" customHeight="1" x14ac:dyDescent="0.2">
      <c r="A41" s="306"/>
      <c r="B41" s="250" t="s">
        <v>3</v>
      </c>
      <c r="C41" s="304"/>
      <c r="D41" s="304"/>
      <c r="E41" s="250" t="s">
        <v>3</v>
      </c>
      <c r="F41" s="291" t="s">
        <v>3</v>
      </c>
      <c r="G41" s="299" t="s">
        <v>207</v>
      </c>
      <c r="H41" s="300" t="s">
        <v>148</v>
      </c>
      <c r="I41" s="301" t="s">
        <v>258</v>
      </c>
      <c r="J41" s="250"/>
      <c r="K41" s="2" t="s">
        <v>210</v>
      </c>
      <c r="L41" s="165"/>
      <c r="M41" s="165"/>
      <c r="N41" s="307"/>
      <c r="O41" s="308"/>
      <c r="P41" s="287"/>
      <c r="Q41" s="287"/>
      <c r="R41" s="165"/>
      <c r="S41" s="165"/>
      <c r="T41" s="302" t="s">
        <v>405</v>
      </c>
    </row>
    <row r="42" spans="1:20" s="84" customFormat="1" ht="32" x14ac:dyDescent="0.2">
      <c r="A42" s="306"/>
      <c r="B42" s="250"/>
      <c r="C42" s="304"/>
      <c r="D42" s="304"/>
      <c r="E42" s="250"/>
      <c r="F42" s="291"/>
      <c r="G42" s="299"/>
      <c r="H42" s="300"/>
      <c r="I42" s="301"/>
      <c r="J42" s="250"/>
      <c r="K42" s="2" t="s">
        <v>211</v>
      </c>
      <c r="L42" s="165"/>
      <c r="M42" s="165"/>
      <c r="N42" s="307"/>
      <c r="O42" s="308"/>
      <c r="P42" s="287"/>
      <c r="Q42" s="287"/>
      <c r="R42" s="165"/>
      <c r="S42" s="165"/>
      <c r="T42" s="302"/>
    </row>
    <row r="43" spans="1:20" s="84" customFormat="1" ht="16" x14ac:dyDescent="0.2">
      <c r="A43" s="306"/>
      <c r="B43" s="250"/>
      <c r="C43" s="304"/>
      <c r="D43" s="304"/>
      <c r="E43" s="250"/>
      <c r="F43" s="130"/>
      <c r="G43" s="299"/>
      <c r="H43" s="300"/>
      <c r="I43" s="301"/>
      <c r="J43" s="250"/>
      <c r="K43" s="250" t="s">
        <v>265</v>
      </c>
      <c r="L43" s="128" t="s">
        <v>296</v>
      </c>
      <c r="M43" s="128"/>
      <c r="N43" s="287"/>
      <c r="O43" s="287"/>
      <c r="P43" s="287"/>
      <c r="Q43" s="287"/>
      <c r="R43" s="128" t="s">
        <v>296</v>
      </c>
      <c r="S43" s="128"/>
      <c r="T43" s="302"/>
    </row>
    <row r="44" spans="1:20" s="84" customFormat="1" ht="32" x14ac:dyDescent="0.2">
      <c r="A44" s="306"/>
      <c r="B44" s="250"/>
      <c r="C44" s="304"/>
      <c r="D44" s="304"/>
      <c r="E44" s="250"/>
      <c r="F44" s="130"/>
      <c r="G44" s="299"/>
      <c r="H44" s="300"/>
      <c r="I44" s="301"/>
      <c r="J44" s="250"/>
      <c r="K44" s="250"/>
      <c r="L44" s="128" t="s">
        <v>440</v>
      </c>
      <c r="M44" s="128"/>
      <c r="N44" s="287"/>
      <c r="O44" s="287"/>
      <c r="P44" s="287"/>
      <c r="Q44" s="287"/>
      <c r="R44" s="128" t="s">
        <v>440</v>
      </c>
      <c r="S44" s="128"/>
      <c r="T44" s="302"/>
    </row>
    <row r="45" spans="1:20" s="84" customFormat="1" ht="16" x14ac:dyDescent="0.2">
      <c r="A45" s="306"/>
      <c r="B45" s="250"/>
      <c r="C45" s="304"/>
      <c r="D45" s="304"/>
      <c r="E45" s="250"/>
      <c r="F45" s="130"/>
      <c r="G45" s="299"/>
      <c r="H45" s="300"/>
      <c r="I45" s="301"/>
      <c r="J45" s="250"/>
      <c r="K45" s="250"/>
      <c r="L45" s="128" t="s">
        <v>297</v>
      </c>
      <c r="M45" s="128"/>
      <c r="N45" s="287"/>
      <c r="O45" s="287"/>
      <c r="P45" s="287"/>
      <c r="Q45" s="287"/>
      <c r="R45" s="128" t="s">
        <v>364</v>
      </c>
      <c r="S45" s="128"/>
      <c r="T45" s="302"/>
    </row>
    <row r="46" spans="1:20" ht="43.25" hidden="1" customHeight="1" x14ac:dyDescent="0.2">
      <c r="A46" s="304"/>
      <c r="B46" s="250" t="s">
        <v>3</v>
      </c>
      <c r="C46" s="250" t="s">
        <v>3</v>
      </c>
      <c r="D46" s="250" t="s">
        <v>3</v>
      </c>
      <c r="E46" s="250" t="s">
        <v>3</v>
      </c>
      <c r="F46" s="291"/>
      <c r="G46" s="299" t="s">
        <v>16</v>
      </c>
      <c r="H46" s="299" t="s">
        <v>168</v>
      </c>
      <c r="I46" s="301" t="s">
        <v>180</v>
      </c>
      <c r="J46" s="250"/>
      <c r="K46" s="2" t="s">
        <v>210</v>
      </c>
      <c r="L46" s="165"/>
      <c r="M46" s="165"/>
      <c r="N46" s="165"/>
      <c r="O46" s="165"/>
      <c r="P46" s="165"/>
      <c r="Q46" s="165"/>
      <c r="R46" s="165"/>
      <c r="S46" s="165"/>
      <c r="T46" s="250" t="s">
        <v>388</v>
      </c>
    </row>
    <row r="47" spans="1:20" ht="32" hidden="1" x14ac:dyDescent="0.2">
      <c r="A47" s="304"/>
      <c r="B47" s="250"/>
      <c r="C47" s="250"/>
      <c r="D47" s="250"/>
      <c r="E47" s="250"/>
      <c r="F47" s="291"/>
      <c r="G47" s="299"/>
      <c r="H47" s="299"/>
      <c r="I47" s="301"/>
      <c r="J47" s="250"/>
      <c r="K47" s="2" t="s">
        <v>211</v>
      </c>
      <c r="L47" s="165"/>
      <c r="M47" s="165"/>
      <c r="N47" s="165"/>
      <c r="O47" s="165"/>
      <c r="P47" s="165"/>
      <c r="Q47" s="165"/>
      <c r="R47" s="165"/>
      <c r="S47" s="165"/>
      <c r="T47" s="250"/>
    </row>
    <row r="48" spans="1:20" ht="16" hidden="1" x14ac:dyDescent="0.2">
      <c r="A48" s="304"/>
      <c r="B48" s="250"/>
      <c r="C48" s="250"/>
      <c r="D48" s="250"/>
      <c r="E48" s="250"/>
      <c r="F48" s="130"/>
      <c r="G48" s="299"/>
      <c r="H48" s="299"/>
      <c r="I48" s="301"/>
      <c r="J48" s="250"/>
      <c r="K48" s="250" t="s">
        <v>265</v>
      </c>
      <c r="L48" s="128" t="s">
        <v>299</v>
      </c>
      <c r="M48" s="128"/>
      <c r="N48" s="128" t="s">
        <v>299</v>
      </c>
      <c r="O48" s="128"/>
      <c r="P48" s="128" t="s">
        <v>299</v>
      </c>
      <c r="Q48" s="128"/>
      <c r="R48" s="128" t="s">
        <v>299</v>
      </c>
      <c r="S48" s="128"/>
      <c r="T48" s="250"/>
    </row>
    <row r="49" spans="1:20" ht="16" hidden="1" x14ac:dyDescent="0.2">
      <c r="A49" s="304"/>
      <c r="B49" s="250"/>
      <c r="C49" s="250"/>
      <c r="D49" s="250"/>
      <c r="E49" s="250"/>
      <c r="F49" s="130"/>
      <c r="G49" s="299"/>
      <c r="H49" s="299"/>
      <c r="I49" s="301"/>
      <c r="J49" s="250"/>
      <c r="K49" s="250"/>
      <c r="L49" s="128" t="s">
        <v>298</v>
      </c>
      <c r="M49" s="128"/>
      <c r="N49" s="128" t="s">
        <v>298</v>
      </c>
      <c r="O49" s="128"/>
      <c r="P49" s="128" t="s">
        <v>298</v>
      </c>
      <c r="Q49" s="128"/>
      <c r="R49" s="128" t="s">
        <v>298</v>
      </c>
      <c r="S49" s="128"/>
      <c r="T49" s="250"/>
    </row>
    <row r="50" spans="1:20" ht="32" hidden="1" x14ac:dyDescent="0.2">
      <c r="A50" s="304"/>
      <c r="B50" s="250"/>
      <c r="C50" s="250"/>
      <c r="D50" s="250"/>
      <c r="E50" s="250"/>
      <c r="F50" s="130"/>
      <c r="G50" s="299"/>
      <c r="H50" s="299"/>
      <c r="I50" s="301"/>
      <c r="J50" s="250"/>
      <c r="K50" s="250"/>
      <c r="L50" s="128" t="s">
        <v>352</v>
      </c>
      <c r="M50" s="128"/>
      <c r="N50" s="128" t="s">
        <v>365</v>
      </c>
      <c r="O50" s="128"/>
      <c r="P50" s="287"/>
      <c r="Q50" s="287"/>
      <c r="R50" s="128" t="s">
        <v>352</v>
      </c>
      <c r="S50" s="128"/>
      <c r="T50" s="250"/>
    </row>
    <row r="51" spans="1:20" ht="72" hidden="1" customHeight="1" x14ac:dyDescent="0.2">
      <c r="A51" s="304"/>
      <c r="B51" s="250" t="s">
        <v>3</v>
      </c>
      <c r="C51" s="250" t="s">
        <v>3</v>
      </c>
      <c r="D51" s="250" t="s">
        <v>3</v>
      </c>
      <c r="E51" s="250" t="s">
        <v>3</v>
      </c>
      <c r="F51" s="291"/>
      <c r="G51" s="299" t="s">
        <v>16</v>
      </c>
      <c r="H51" s="303" t="s">
        <v>149</v>
      </c>
      <c r="I51" s="301" t="s">
        <v>259</v>
      </c>
      <c r="J51" s="250"/>
      <c r="K51" s="2" t="s">
        <v>210</v>
      </c>
      <c r="L51" s="165"/>
      <c r="M51" s="165"/>
      <c r="N51" s="165"/>
      <c r="O51" s="165"/>
      <c r="P51" s="165"/>
      <c r="Q51" s="165"/>
      <c r="R51" s="165"/>
      <c r="S51" s="165"/>
      <c r="T51" s="250" t="s">
        <v>406</v>
      </c>
    </row>
    <row r="52" spans="1:20" ht="32" hidden="1" x14ac:dyDescent="0.2">
      <c r="A52" s="304"/>
      <c r="B52" s="250"/>
      <c r="C52" s="250"/>
      <c r="D52" s="250"/>
      <c r="E52" s="250"/>
      <c r="F52" s="291"/>
      <c r="G52" s="299"/>
      <c r="H52" s="303"/>
      <c r="I52" s="301"/>
      <c r="J52" s="250"/>
      <c r="K52" s="2" t="s">
        <v>211</v>
      </c>
      <c r="L52" s="165"/>
      <c r="M52" s="165"/>
      <c r="N52" s="165"/>
      <c r="O52" s="165"/>
      <c r="P52" s="165"/>
      <c r="Q52" s="165"/>
      <c r="R52" s="165"/>
      <c r="S52" s="165"/>
      <c r="T52" s="250"/>
    </row>
    <row r="53" spans="1:20" ht="16" hidden="1" x14ac:dyDescent="0.2">
      <c r="A53" s="304"/>
      <c r="B53" s="250"/>
      <c r="C53" s="250"/>
      <c r="D53" s="250"/>
      <c r="E53" s="250"/>
      <c r="F53" s="130"/>
      <c r="G53" s="299"/>
      <c r="H53" s="303"/>
      <c r="I53" s="301"/>
      <c r="J53" s="250"/>
      <c r="K53" s="282" t="s">
        <v>265</v>
      </c>
      <c r="L53" s="128" t="s">
        <v>300</v>
      </c>
      <c r="M53" s="128"/>
      <c r="N53" s="128" t="s">
        <v>300</v>
      </c>
      <c r="O53" s="128"/>
      <c r="P53" s="128" t="s">
        <v>300</v>
      </c>
      <c r="Q53" s="128"/>
      <c r="R53" s="128" t="s">
        <v>300</v>
      </c>
      <c r="S53" s="128"/>
      <c r="T53" s="250"/>
    </row>
    <row r="54" spans="1:20" ht="16" hidden="1" x14ac:dyDescent="0.2">
      <c r="A54" s="304"/>
      <c r="B54" s="250"/>
      <c r="C54" s="250"/>
      <c r="D54" s="250"/>
      <c r="E54" s="250"/>
      <c r="F54" s="130"/>
      <c r="G54" s="299"/>
      <c r="H54" s="303"/>
      <c r="I54" s="301"/>
      <c r="J54" s="250"/>
      <c r="K54" s="283"/>
      <c r="L54" s="128" t="s">
        <v>301</v>
      </c>
      <c r="M54" s="128"/>
      <c r="N54" s="128" t="s">
        <v>301</v>
      </c>
      <c r="O54" s="128"/>
      <c r="P54" s="128" t="s">
        <v>301</v>
      </c>
      <c r="Q54" s="128"/>
      <c r="R54" s="128" t="s">
        <v>301</v>
      </c>
      <c r="S54" s="128"/>
      <c r="T54" s="250"/>
    </row>
    <row r="55" spans="1:20" ht="16" hidden="1" x14ac:dyDescent="0.2">
      <c r="A55" s="304"/>
      <c r="B55" s="250"/>
      <c r="C55" s="250"/>
      <c r="D55" s="250"/>
      <c r="E55" s="250"/>
      <c r="F55" s="130"/>
      <c r="G55" s="299"/>
      <c r="H55" s="303"/>
      <c r="I55" s="301"/>
      <c r="J55" s="250"/>
      <c r="K55" s="283"/>
      <c r="L55" s="128" t="s">
        <v>302</v>
      </c>
      <c r="M55" s="128"/>
      <c r="N55" s="128" t="s">
        <v>302</v>
      </c>
      <c r="O55" s="128"/>
      <c r="P55" s="128" t="s">
        <v>302</v>
      </c>
      <c r="Q55" s="128"/>
      <c r="R55" s="128" t="s">
        <v>302</v>
      </c>
      <c r="S55" s="128"/>
      <c r="T55" s="250"/>
    </row>
    <row r="56" spans="1:20" ht="32" hidden="1" x14ac:dyDescent="0.2">
      <c r="A56" s="304"/>
      <c r="B56" s="250"/>
      <c r="C56" s="250"/>
      <c r="D56" s="250"/>
      <c r="E56" s="250"/>
      <c r="F56" s="130"/>
      <c r="G56" s="299"/>
      <c r="H56" s="303"/>
      <c r="I56" s="301"/>
      <c r="J56" s="250"/>
      <c r="K56" s="284"/>
      <c r="L56" s="287"/>
      <c r="M56" s="287"/>
      <c r="N56" s="128" t="s">
        <v>366</v>
      </c>
      <c r="O56" s="128"/>
      <c r="P56" s="128" t="s">
        <v>367</v>
      </c>
      <c r="Q56" s="128"/>
      <c r="R56" s="128" t="s">
        <v>441</v>
      </c>
      <c r="S56" s="128"/>
      <c r="T56" s="250"/>
    </row>
    <row r="57" spans="1:20" ht="57.5" customHeight="1" x14ac:dyDescent="0.2">
      <c r="A57" s="304"/>
      <c r="B57" s="250" t="s">
        <v>3</v>
      </c>
      <c r="C57" s="250" t="s">
        <v>3</v>
      </c>
      <c r="D57" s="250" t="s">
        <v>3</v>
      </c>
      <c r="E57" s="250" t="s">
        <v>3</v>
      </c>
      <c r="F57" s="291" t="s">
        <v>3</v>
      </c>
      <c r="G57" s="299" t="s">
        <v>16</v>
      </c>
      <c r="H57" s="303" t="s">
        <v>150</v>
      </c>
      <c r="I57" s="301" t="s">
        <v>181</v>
      </c>
      <c r="J57" s="250"/>
      <c r="K57" s="2" t="s">
        <v>210</v>
      </c>
      <c r="L57" s="165"/>
      <c r="M57" s="165"/>
      <c r="N57" s="165"/>
      <c r="O57" s="165"/>
      <c r="P57" s="165"/>
      <c r="Q57" s="165"/>
      <c r="R57" s="165"/>
      <c r="S57" s="165"/>
      <c r="T57" s="250" t="s">
        <v>407</v>
      </c>
    </row>
    <row r="58" spans="1:20" ht="32" x14ac:dyDescent="0.2">
      <c r="A58" s="304"/>
      <c r="B58" s="250"/>
      <c r="C58" s="250"/>
      <c r="D58" s="250"/>
      <c r="E58" s="250"/>
      <c r="F58" s="291"/>
      <c r="G58" s="299"/>
      <c r="H58" s="303"/>
      <c r="I58" s="301"/>
      <c r="J58" s="250"/>
      <c r="K58" s="2" t="s">
        <v>211</v>
      </c>
      <c r="L58" s="165"/>
      <c r="M58" s="165"/>
      <c r="N58" s="165"/>
      <c r="O58" s="165"/>
      <c r="P58" s="165"/>
      <c r="Q58" s="165"/>
      <c r="R58" s="165"/>
      <c r="S58" s="165"/>
      <c r="T58" s="250"/>
    </row>
    <row r="59" spans="1:20" ht="16" x14ac:dyDescent="0.2">
      <c r="A59" s="304"/>
      <c r="B59" s="250"/>
      <c r="C59" s="250"/>
      <c r="D59" s="250"/>
      <c r="E59" s="250"/>
      <c r="F59" s="130"/>
      <c r="G59" s="299"/>
      <c r="H59" s="303"/>
      <c r="I59" s="301"/>
      <c r="J59" s="250"/>
      <c r="K59" s="250" t="s">
        <v>265</v>
      </c>
      <c r="L59" s="128" t="s">
        <v>303</v>
      </c>
      <c r="M59" s="128"/>
      <c r="N59" s="128" t="s">
        <v>303</v>
      </c>
      <c r="O59" s="128"/>
      <c r="P59" s="128" t="s">
        <v>303</v>
      </c>
      <c r="Q59" s="128"/>
      <c r="R59" s="128" t="s">
        <v>303</v>
      </c>
      <c r="S59" s="128"/>
      <c r="T59" s="250"/>
    </row>
    <row r="60" spans="1:20" ht="16" x14ac:dyDescent="0.2">
      <c r="A60" s="304"/>
      <c r="B60" s="250"/>
      <c r="C60" s="250"/>
      <c r="D60" s="250"/>
      <c r="E60" s="250"/>
      <c r="F60" s="130"/>
      <c r="G60" s="299"/>
      <c r="H60" s="303"/>
      <c r="I60" s="301"/>
      <c r="J60" s="250"/>
      <c r="K60" s="250"/>
      <c r="L60" s="128" t="s">
        <v>304</v>
      </c>
      <c r="M60" s="128"/>
      <c r="N60" s="128" t="s">
        <v>304</v>
      </c>
      <c r="O60" s="128"/>
      <c r="P60" s="128" t="s">
        <v>304</v>
      </c>
      <c r="Q60" s="128"/>
      <c r="R60" s="128" t="s">
        <v>304</v>
      </c>
      <c r="S60" s="128"/>
      <c r="T60" s="250"/>
    </row>
    <row r="61" spans="1:20" ht="16" x14ac:dyDescent="0.2">
      <c r="A61" s="304"/>
      <c r="B61" s="250"/>
      <c r="C61" s="250"/>
      <c r="D61" s="250"/>
      <c r="E61" s="250"/>
      <c r="F61" s="130"/>
      <c r="G61" s="299"/>
      <c r="H61" s="303"/>
      <c r="I61" s="301"/>
      <c r="J61" s="250"/>
      <c r="K61" s="250"/>
      <c r="L61" s="287"/>
      <c r="M61" s="287"/>
      <c r="N61" s="287"/>
      <c r="O61" s="287"/>
      <c r="P61" s="128" t="s">
        <v>368</v>
      </c>
      <c r="Q61" s="128"/>
      <c r="R61" s="287"/>
      <c r="S61" s="287"/>
      <c r="T61" s="250"/>
    </row>
    <row r="62" spans="1:20" ht="48" x14ac:dyDescent="0.2">
      <c r="A62" s="304"/>
      <c r="B62" s="250" t="s">
        <v>3</v>
      </c>
      <c r="C62" s="250" t="s">
        <v>3</v>
      </c>
      <c r="D62" s="250" t="s">
        <v>3</v>
      </c>
      <c r="E62" s="250" t="s">
        <v>3</v>
      </c>
      <c r="F62" s="291" t="s">
        <v>3</v>
      </c>
      <c r="G62" s="299" t="s">
        <v>16</v>
      </c>
      <c r="H62" s="300" t="s">
        <v>151</v>
      </c>
      <c r="I62" s="301" t="s">
        <v>227</v>
      </c>
      <c r="J62" s="250"/>
      <c r="K62" s="2" t="s">
        <v>210</v>
      </c>
      <c r="L62" s="165"/>
      <c r="M62" s="165"/>
      <c r="N62" s="165"/>
      <c r="O62" s="165"/>
      <c r="P62" s="165"/>
      <c r="Q62" s="165"/>
      <c r="R62" s="165"/>
      <c r="S62" s="165"/>
      <c r="T62" s="250" t="s">
        <v>408</v>
      </c>
    </row>
    <row r="63" spans="1:20" ht="32" x14ac:dyDescent="0.2">
      <c r="A63" s="304"/>
      <c r="B63" s="250"/>
      <c r="C63" s="250"/>
      <c r="D63" s="250"/>
      <c r="E63" s="250"/>
      <c r="F63" s="291"/>
      <c r="G63" s="299"/>
      <c r="H63" s="300"/>
      <c r="I63" s="301"/>
      <c r="J63" s="250"/>
      <c r="K63" s="2" t="s">
        <v>211</v>
      </c>
      <c r="L63" s="165"/>
      <c r="M63" s="165"/>
      <c r="N63" s="165"/>
      <c r="O63" s="165"/>
      <c r="P63" s="165"/>
      <c r="Q63" s="165"/>
      <c r="R63" s="165"/>
      <c r="S63" s="165"/>
      <c r="T63" s="250"/>
    </row>
    <row r="64" spans="1:20" ht="16" x14ac:dyDescent="0.2">
      <c r="A64" s="304"/>
      <c r="B64" s="250"/>
      <c r="C64" s="250"/>
      <c r="D64" s="250"/>
      <c r="E64" s="250"/>
      <c r="F64" s="130"/>
      <c r="G64" s="299"/>
      <c r="H64" s="300"/>
      <c r="I64" s="301"/>
      <c r="J64" s="250"/>
      <c r="K64" s="250" t="s">
        <v>265</v>
      </c>
      <c r="L64" s="128" t="s">
        <v>305</v>
      </c>
      <c r="M64" s="128"/>
      <c r="N64" s="128" t="s">
        <v>305</v>
      </c>
      <c r="O64" s="128"/>
      <c r="P64" s="128" t="s">
        <v>305</v>
      </c>
      <c r="Q64" s="128"/>
      <c r="R64" s="128" t="s">
        <v>305</v>
      </c>
      <c r="S64" s="128"/>
      <c r="T64" s="250"/>
    </row>
    <row r="65" spans="1:20" ht="16" x14ac:dyDescent="0.2">
      <c r="A65" s="304"/>
      <c r="B65" s="250"/>
      <c r="C65" s="250"/>
      <c r="D65" s="250"/>
      <c r="E65" s="250"/>
      <c r="F65" s="130"/>
      <c r="G65" s="299"/>
      <c r="H65" s="300"/>
      <c r="I65" s="301"/>
      <c r="J65" s="250"/>
      <c r="K65" s="250"/>
      <c r="L65" s="128" t="s">
        <v>306</v>
      </c>
      <c r="M65" s="128"/>
      <c r="N65" s="128" t="s">
        <v>306</v>
      </c>
      <c r="O65" s="128"/>
      <c r="P65" s="128" t="s">
        <v>306</v>
      </c>
      <c r="Q65" s="128"/>
      <c r="R65" s="128" t="s">
        <v>306</v>
      </c>
      <c r="S65" s="128"/>
      <c r="T65" s="250"/>
    </row>
    <row r="66" spans="1:20" ht="16" x14ac:dyDescent="0.2">
      <c r="A66" s="304"/>
      <c r="B66" s="250"/>
      <c r="C66" s="250"/>
      <c r="D66" s="250"/>
      <c r="E66" s="250"/>
      <c r="F66" s="130"/>
      <c r="G66" s="299"/>
      <c r="H66" s="300"/>
      <c r="I66" s="301"/>
      <c r="J66" s="250"/>
      <c r="K66" s="250"/>
      <c r="L66" s="287"/>
      <c r="M66" s="287"/>
      <c r="N66" s="287"/>
      <c r="O66" s="287"/>
      <c r="P66" s="287"/>
      <c r="Q66" s="287"/>
      <c r="R66" s="128" t="s">
        <v>369</v>
      </c>
      <c r="S66" s="128"/>
      <c r="T66" s="250"/>
    </row>
    <row r="67" spans="1:20" ht="43.25" customHeight="1" x14ac:dyDescent="0.2">
      <c r="A67" s="304"/>
      <c r="B67" s="250" t="s">
        <v>3</v>
      </c>
      <c r="C67" s="304"/>
      <c r="D67" s="304"/>
      <c r="E67" s="250" t="s">
        <v>3</v>
      </c>
      <c r="F67" s="291" t="s">
        <v>3</v>
      </c>
      <c r="G67" s="300" t="s">
        <v>4</v>
      </c>
      <c r="H67" s="300" t="s">
        <v>152</v>
      </c>
      <c r="I67" s="301" t="s">
        <v>260</v>
      </c>
      <c r="J67" s="250"/>
      <c r="K67" s="2" t="s">
        <v>210</v>
      </c>
      <c r="L67" s="165"/>
      <c r="M67" s="165"/>
      <c r="N67" s="287"/>
      <c r="O67" s="287"/>
      <c r="P67" s="287"/>
      <c r="Q67" s="287"/>
      <c r="R67" s="165"/>
      <c r="S67" s="165"/>
      <c r="T67" s="250" t="s">
        <v>389</v>
      </c>
    </row>
    <row r="68" spans="1:20" ht="32" x14ac:dyDescent="0.2">
      <c r="A68" s="304"/>
      <c r="B68" s="250"/>
      <c r="C68" s="304"/>
      <c r="D68" s="304"/>
      <c r="E68" s="250"/>
      <c r="F68" s="291"/>
      <c r="G68" s="300"/>
      <c r="H68" s="300"/>
      <c r="I68" s="301"/>
      <c r="J68" s="250"/>
      <c r="K68" s="2" t="s">
        <v>211</v>
      </c>
      <c r="L68" s="165"/>
      <c r="M68" s="165"/>
      <c r="N68" s="287"/>
      <c r="O68" s="287"/>
      <c r="P68" s="287"/>
      <c r="Q68" s="287"/>
      <c r="R68" s="165"/>
      <c r="S68" s="165"/>
      <c r="T68" s="250"/>
    </row>
    <row r="69" spans="1:20" ht="32" x14ac:dyDescent="0.2">
      <c r="A69" s="304"/>
      <c r="B69" s="250"/>
      <c r="C69" s="304"/>
      <c r="D69" s="304"/>
      <c r="E69" s="250"/>
      <c r="F69" s="130"/>
      <c r="G69" s="300"/>
      <c r="H69" s="300"/>
      <c r="I69" s="301"/>
      <c r="J69" s="250"/>
      <c r="K69" s="250" t="s">
        <v>265</v>
      </c>
      <c r="L69" s="128" t="s">
        <v>307</v>
      </c>
      <c r="M69" s="128"/>
      <c r="N69" s="287"/>
      <c r="O69" s="287"/>
      <c r="P69" s="287"/>
      <c r="Q69" s="287"/>
      <c r="R69" s="128" t="s">
        <v>307</v>
      </c>
      <c r="S69" s="128"/>
      <c r="T69" s="250"/>
    </row>
    <row r="70" spans="1:20" ht="32" x14ac:dyDescent="0.2">
      <c r="A70" s="304"/>
      <c r="B70" s="250"/>
      <c r="C70" s="304"/>
      <c r="D70" s="304"/>
      <c r="E70" s="250"/>
      <c r="F70" s="130"/>
      <c r="G70" s="300"/>
      <c r="H70" s="300"/>
      <c r="I70" s="301"/>
      <c r="J70" s="250"/>
      <c r="K70" s="250"/>
      <c r="L70" s="128" t="s">
        <v>347</v>
      </c>
      <c r="M70" s="128"/>
      <c r="N70" s="287"/>
      <c r="O70" s="287"/>
      <c r="P70" s="287"/>
      <c r="Q70" s="287"/>
      <c r="R70" s="128" t="s">
        <v>347</v>
      </c>
      <c r="S70" s="128"/>
      <c r="T70" s="250"/>
    </row>
    <row r="71" spans="1:20" ht="48" x14ac:dyDescent="0.2">
      <c r="A71" s="304"/>
      <c r="B71" s="250"/>
      <c r="C71" s="304"/>
      <c r="D71" s="304"/>
      <c r="E71" s="250" t="s">
        <v>3</v>
      </c>
      <c r="F71" s="291" t="s">
        <v>3</v>
      </c>
      <c r="G71" s="300" t="s">
        <v>4</v>
      </c>
      <c r="H71" s="303" t="s">
        <v>165</v>
      </c>
      <c r="I71" s="301" t="s">
        <v>182</v>
      </c>
      <c r="J71" s="250"/>
      <c r="K71" s="2" t="s">
        <v>210</v>
      </c>
      <c r="L71" s="287"/>
      <c r="M71" s="287"/>
      <c r="N71" s="287"/>
      <c r="O71" s="287"/>
      <c r="P71" s="287"/>
      <c r="Q71" s="287"/>
      <c r="R71" s="165"/>
      <c r="S71" s="165"/>
      <c r="T71" s="250" t="s">
        <v>409</v>
      </c>
    </row>
    <row r="72" spans="1:20" ht="32" x14ac:dyDescent="0.2">
      <c r="A72" s="304"/>
      <c r="B72" s="250"/>
      <c r="C72" s="304"/>
      <c r="D72" s="304"/>
      <c r="E72" s="250"/>
      <c r="F72" s="291"/>
      <c r="G72" s="300"/>
      <c r="H72" s="303"/>
      <c r="I72" s="301"/>
      <c r="J72" s="250"/>
      <c r="K72" s="2" t="s">
        <v>211</v>
      </c>
      <c r="L72" s="287"/>
      <c r="M72" s="287"/>
      <c r="N72" s="287"/>
      <c r="O72" s="287"/>
      <c r="P72" s="287"/>
      <c r="Q72" s="287"/>
      <c r="R72" s="165"/>
      <c r="S72" s="165"/>
      <c r="T72" s="250"/>
    </row>
    <row r="73" spans="1:20" ht="16" x14ac:dyDescent="0.2">
      <c r="A73" s="304"/>
      <c r="B73" s="250"/>
      <c r="C73" s="304"/>
      <c r="D73" s="304"/>
      <c r="E73" s="250"/>
      <c r="F73" s="130"/>
      <c r="G73" s="300"/>
      <c r="H73" s="303"/>
      <c r="I73" s="301"/>
      <c r="J73" s="250"/>
      <c r="K73" s="250" t="s">
        <v>265</v>
      </c>
      <c r="L73" s="287"/>
      <c r="M73" s="287"/>
      <c r="N73" s="287"/>
      <c r="O73" s="287"/>
      <c r="P73" s="287"/>
      <c r="Q73" s="287"/>
      <c r="R73" s="128" t="s">
        <v>319</v>
      </c>
      <c r="S73" s="128"/>
      <c r="T73" s="250"/>
    </row>
    <row r="74" spans="1:20" ht="32" x14ac:dyDescent="0.2">
      <c r="A74" s="304"/>
      <c r="B74" s="250"/>
      <c r="C74" s="304"/>
      <c r="D74" s="304"/>
      <c r="E74" s="250"/>
      <c r="F74" s="130"/>
      <c r="G74" s="300"/>
      <c r="H74" s="303"/>
      <c r="I74" s="301"/>
      <c r="J74" s="250"/>
      <c r="K74" s="250"/>
      <c r="L74" s="287"/>
      <c r="M74" s="287"/>
      <c r="N74" s="287"/>
      <c r="O74" s="287"/>
      <c r="P74" s="287"/>
      <c r="Q74" s="287"/>
      <c r="R74" s="128" t="s">
        <v>320</v>
      </c>
      <c r="S74" s="128"/>
      <c r="T74" s="250"/>
    </row>
    <row r="75" spans="1:20" ht="32" x14ac:dyDescent="0.2">
      <c r="A75" s="304"/>
      <c r="B75" s="250"/>
      <c r="C75" s="304"/>
      <c r="D75" s="304"/>
      <c r="E75" s="250"/>
      <c r="F75" s="130"/>
      <c r="G75" s="300"/>
      <c r="H75" s="303"/>
      <c r="I75" s="301"/>
      <c r="J75" s="250"/>
      <c r="K75" s="250"/>
      <c r="L75" s="287"/>
      <c r="M75" s="287"/>
      <c r="N75" s="287"/>
      <c r="O75" s="287"/>
      <c r="P75" s="287"/>
      <c r="Q75" s="287"/>
      <c r="R75" s="128" t="s">
        <v>345</v>
      </c>
      <c r="S75" s="128"/>
      <c r="T75" s="250"/>
    </row>
    <row r="76" spans="1:20" ht="48" x14ac:dyDescent="0.2">
      <c r="A76" s="304"/>
      <c r="B76" s="250"/>
      <c r="C76" s="304"/>
      <c r="D76" s="304"/>
      <c r="E76" s="250" t="s">
        <v>3</v>
      </c>
      <c r="F76" s="291" t="s">
        <v>3</v>
      </c>
      <c r="G76" s="300" t="s">
        <v>4</v>
      </c>
      <c r="H76" s="303" t="s">
        <v>164</v>
      </c>
      <c r="I76" s="301" t="s">
        <v>183</v>
      </c>
      <c r="J76" s="250"/>
      <c r="K76" s="2" t="s">
        <v>210</v>
      </c>
      <c r="L76" s="287"/>
      <c r="M76" s="287"/>
      <c r="N76" s="287"/>
      <c r="O76" s="287"/>
      <c r="P76" s="287"/>
      <c r="Q76" s="287"/>
      <c r="R76" s="165"/>
      <c r="S76" s="165"/>
      <c r="T76" s="250" t="s">
        <v>410</v>
      </c>
    </row>
    <row r="77" spans="1:20" ht="32" x14ac:dyDescent="0.2">
      <c r="A77" s="304"/>
      <c r="B77" s="250"/>
      <c r="C77" s="304"/>
      <c r="D77" s="304"/>
      <c r="E77" s="250"/>
      <c r="F77" s="291"/>
      <c r="G77" s="300"/>
      <c r="H77" s="303"/>
      <c r="I77" s="301"/>
      <c r="J77" s="250"/>
      <c r="K77" s="2" t="s">
        <v>211</v>
      </c>
      <c r="L77" s="287"/>
      <c r="M77" s="287"/>
      <c r="N77" s="287"/>
      <c r="O77" s="287"/>
      <c r="P77" s="287"/>
      <c r="Q77" s="287"/>
      <c r="R77" s="165"/>
      <c r="S77" s="165"/>
      <c r="T77" s="250"/>
    </row>
    <row r="78" spans="1:20" ht="16" x14ac:dyDescent="0.2">
      <c r="A78" s="304"/>
      <c r="B78" s="250"/>
      <c r="C78" s="304"/>
      <c r="D78" s="304"/>
      <c r="E78" s="250"/>
      <c r="F78" s="130"/>
      <c r="G78" s="300"/>
      <c r="H78" s="303"/>
      <c r="I78" s="301"/>
      <c r="J78" s="250"/>
      <c r="K78" s="250" t="s">
        <v>265</v>
      </c>
      <c r="L78" s="287"/>
      <c r="M78" s="287"/>
      <c r="N78" s="287"/>
      <c r="O78" s="287"/>
      <c r="P78" s="287"/>
      <c r="Q78" s="287"/>
      <c r="R78" s="128" t="s">
        <v>317</v>
      </c>
      <c r="S78" s="128"/>
      <c r="T78" s="250"/>
    </row>
    <row r="79" spans="1:20" ht="16" x14ac:dyDescent="0.2">
      <c r="A79" s="304"/>
      <c r="B79" s="250"/>
      <c r="C79" s="304"/>
      <c r="D79" s="304"/>
      <c r="E79" s="250"/>
      <c r="F79" s="130"/>
      <c r="G79" s="300"/>
      <c r="H79" s="303"/>
      <c r="I79" s="301"/>
      <c r="J79" s="250"/>
      <c r="K79" s="250"/>
      <c r="L79" s="287"/>
      <c r="M79" s="287"/>
      <c r="N79" s="287"/>
      <c r="O79" s="287"/>
      <c r="P79" s="287"/>
      <c r="Q79" s="287"/>
      <c r="R79" s="128" t="s">
        <v>318</v>
      </c>
      <c r="S79" s="128"/>
      <c r="T79" s="250"/>
    </row>
    <row r="80" spans="1:20" ht="43.25" customHeight="1" x14ac:dyDescent="0.2">
      <c r="A80" s="304"/>
      <c r="B80" s="250" t="s">
        <v>3</v>
      </c>
      <c r="C80" s="304"/>
      <c r="D80" s="250" t="s">
        <v>3</v>
      </c>
      <c r="E80" s="250" t="s">
        <v>3</v>
      </c>
      <c r="F80" s="291" t="s">
        <v>3</v>
      </c>
      <c r="G80" s="300" t="s">
        <v>4</v>
      </c>
      <c r="H80" s="303" t="s">
        <v>153</v>
      </c>
      <c r="I80" s="301" t="s">
        <v>184</v>
      </c>
      <c r="J80" s="250"/>
      <c r="K80" s="2" t="s">
        <v>210</v>
      </c>
      <c r="L80" s="165"/>
      <c r="M80" s="165"/>
      <c r="N80" s="287"/>
      <c r="O80" s="287"/>
      <c r="P80" s="165"/>
      <c r="Q80" s="165"/>
      <c r="R80" s="165"/>
      <c r="S80" s="165"/>
      <c r="T80" s="250" t="s">
        <v>390</v>
      </c>
    </row>
    <row r="81" spans="1:20" ht="32" x14ac:dyDescent="0.2">
      <c r="A81" s="304"/>
      <c r="B81" s="250"/>
      <c r="C81" s="304"/>
      <c r="D81" s="250"/>
      <c r="E81" s="250"/>
      <c r="F81" s="291"/>
      <c r="G81" s="300"/>
      <c r="H81" s="303"/>
      <c r="I81" s="301"/>
      <c r="J81" s="250"/>
      <c r="K81" s="2" t="s">
        <v>211</v>
      </c>
      <c r="L81" s="165"/>
      <c r="M81" s="165"/>
      <c r="N81" s="287"/>
      <c r="O81" s="287"/>
      <c r="P81" s="165"/>
      <c r="Q81" s="165"/>
      <c r="R81" s="165"/>
      <c r="S81" s="165"/>
      <c r="T81" s="250"/>
    </row>
    <row r="82" spans="1:20" ht="32" x14ac:dyDescent="0.2">
      <c r="A82" s="304"/>
      <c r="B82" s="250"/>
      <c r="C82" s="304"/>
      <c r="D82" s="250"/>
      <c r="E82" s="250"/>
      <c r="F82" s="130"/>
      <c r="G82" s="300"/>
      <c r="H82" s="303"/>
      <c r="I82" s="301"/>
      <c r="J82" s="250"/>
      <c r="K82" s="250" t="s">
        <v>265</v>
      </c>
      <c r="L82" s="139" t="s">
        <v>308</v>
      </c>
      <c r="M82" s="128"/>
      <c r="N82" s="287"/>
      <c r="O82" s="287"/>
      <c r="P82" s="128" t="s">
        <v>370</v>
      </c>
      <c r="Q82" s="128"/>
      <c r="R82" s="128" t="s">
        <v>370</v>
      </c>
      <c r="S82" s="128"/>
      <c r="T82" s="250"/>
    </row>
    <row r="83" spans="1:20" ht="16" x14ac:dyDescent="0.2">
      <c r="A83" s="304"/>
      <c r="B83" s="250"/>
      <c r="C83" s="304"/>
      <c r="D83" s="250"/>
      <c r="E83" s="250"/>
      <c r="F83" s="130"/>
      <c r="G83" s="300"/>
      <c r="H83" s="303"/>
      <c r="I83" s="301"/>
      <c r="J83" s="250"/>
      <c r="K83" s="250"/>
      <c r="L83" s="287"/>
      <c r="M83" s="287"/>
      <c r="N83" s="287"/>
      <c r="O83" s="287"/>
      <c r="P83" s="128" t="s">
        <v>371</v>
      </c>
      <c r="Q83" s="128"/>
      <c r="R83" s="287"/>
      <c r="S83" s="287"/>
      <c r="T83" s="250"/>
    </row>
    <row r="84" spans="1:20" ht="48" hidden="1" customHeight="1" x14ac:dyDescent="0.2">
      <c r="A84" s="304"/>
      <c r="B84" s="250" t="s">
        <v>3</v>
      </c>
      <c r="C84" s="250" t="s">
        <v>3</v>
      </c>
      <c r="D84" s="250" t="s">
        <v>3</v>
      </c>
      <c r="E84" s="305" t="s">
        <v>3</v>
      </c>
      <c r="F84" s="291"/>
      <c r="G84" s="299" t="s">
        <v>17</v>
      </c>
      <c r="H84" s="300" t="s">
        <v>70</v>
      </c>
      <c r="I84" s="301" t="s">
        <v>185</v>
      </c>
      <c r="J84" s="250"/>
      <c r="K84" s="2" t="s">
        <v>210</v>
      </c>
      <c r="L84" s="165"/>
      <c r="M84" s="165"/>
      <c r="N84" s="165"/>
      <c r="O84" s="165"/>
      <c r="P84" s="165"/>
      <c r="Q84" s="165"/>
      <c r="R84" s="165"/>
      <c r="S84" s="165"/>
      <c r="T84" s="250" t="s">
        <v>411</v>
      </c>
    </row>
    <row r="85" spans="1:20" ht="48" hidden="1" x14ac:dyDescent="0.2">
      <c r="A85" s="304"/>
      <c r="B85" s="250"/>
      <c r="C85" s="250"/>
      <c r="D85" s="250"/>
      <c r="E85" s="305"/>
      <c r="F85" s="291"/>
      <c r="G85" s="299"/>
      <c r="H85" s="300"/>
      <c r="I85" s="301"/>
      <c r="J85" s="250"/>
      <c r="K85" s="2" t="s">
        <v>212</v>
      </c>
      <c r="L85" s="165"/>
      <c r="M85" s="165"/>
      <c r="N85" s="165"/>
      <c r="O85" s="165"/>
      <c r="P85" s="165"/>
      <c r="Q85" s="165"/>
      <c r="R85" s="165"/>
      <c r="S85" s="165"/>
      <c r="T85" s="250"/>
    </row>
    <row r="86" spans="1:20" ht="48" hidden="1" x14ac:dyDescent="0.2">
      <c r="A86" s="304"/>
      <c r="B86" s="250"/>
      <c r="C86" s="250"/>
      <c r="D86" s="250"/>
      <c r="E86" s="305"/>
      <c r="F86" s="291"/>
      <c r="G86" s="299"/>
      <c r="H86" s="300"/>
      <c r="I86" s="301"/>
      <c r="J86" s="250"/>
      <c r="K86" s="2" t="s">
        <v>213</v>
      </c>
      <c r="L86" s="165"/>
      <c r="M86" s="165"/>
      <c r="N86" s="165"/>
      <c r="O86" s="165"/>
      <c r="P86" s="165"/>
      <c r="Q86" s="165"/>
      <c r="R86" s="165"/>
      <c r="S86" s="165"/>
      <c r="T86" s="250"/>
    </row>
    <row r="87" spans="1:20" ht="48" hidden="1" x14ac:dyDescent="0.2">
      <c r="A87" s="304"/>
      <c r="B87" s="250"/>
      <c r="C87" s="250"/>
      <c r="D87" s="250"/>
      <c r="E87" s="305"/>
      <c r="F87" s="291"/>
      <c r="G87" s="299"/>
      <c r="H87" s="300"/>
      <c r="I87" s="301"/>
      <c r="J87" s="250"/>
      <c r="K87" s="2" t="s">
        <v>214</v>
      </c>
      <c r="L87" s="165"/>
      <c r="M87" s="165"/>
      <c r="N87" s="165"/>
      <c r="O87" s="165"/>
      <c r="P87" s="165"/>
      <c r="Q87" s="165"/>
      <c r="R87" s="165"/>
      <c r="S87" s="165"/>
      <c r="T87" s="250"/>
    </row>
    <row r="88" spans="1:20" ht="16" hidden="1" x14ac:dyDescent="0.2">
      <c r="A88" s="304"/>
      <c r="B88" s="250"/>
      <c r="C88" s="250"/>
      <c r="D88" s="250"/>
      <c r="E88" s="305"/>
      <c r="F88" s="130"/>
      <c r="G88" s="299"/>
      <c r="H88" s="300"/>
      <c r="I88" s="301"/>
      <c r="J88" s="250"/>
      <c r="K88" s="250" t="s">
        <v>265</v>
      </c>
      <c r="L88" s="128" t="s">
        <v>309</v>
      </c>
      <c r="M88" s="128"/>
      <c r="N88" s="128" t="s">
        <v>309</v>
      </c>
      <c r="O88" s="128"/>
      <c r="P88" s="128" t="s">
        <v>309</v>
      </c>
      <c r="Q88" s="128"/>
      <c r="R88" s="128" t="s">
        <v>309</v>
      </c>
      <c r="S88" s="128"/>
      <c r="T88" s="250"/>
    </row>
    <row r="89" spans="1:20" ht="16" hidden="1" x14ac:dyDescent="0.2">
      <c r="A89" s="304"/>
      <c r="B89" s="250"/>
      <c r="C89" s="250"/>
      <c r="D89" s="250"/>
      <c r="E89" s="305"/>
      <c r="F89" s="130"/>
      <c r="G89" s="299"/>
      <c r="H89" s="300"/>
      <c r="I89" s="301"/>
      <c r="J89" s="250"/>
      <c r="K89" s="250"/>
      <c r="L89" s="128" t="s">
        <v>310</v>
      </c>
      <c r="M89" s="128"/>
      <c r="N89" s="128" t="s">
        <v>310</v>
      </c>
      <c r="O89" s="128"/>
      <c r="P89" s="128" t="s">
        <v>310</v>
      </c>
      <c r="Q89" s="128"/>
      <c r="R89" s="128" t="s">
        <v>310</v>
      </c>
      <c r="S89" s="128"/>
      <c r="T89" s="250"/>
    </row>
    <row r="90" spans="1:20" ht="32" hidden="1" x14ac:dyDescent="0.2">
      <c r="A90" s="304"/>
      <c r="B90" s="250"/>
      <c r="C90" s="250"/>
      <c r="D90" s="250"/>
      <c r="E90" s="305"/>
      <c r="F90" s="130"/>
      <c r="G90" s="299"/>
      <c r="H90" s="300"/>
      <c r="I90" s="301"/>
      <c r="J90" s="250"/>
      <c r="K90" s="250"/>
      <c r="L90" s="128" t="s">
        <v>311</v>
      </c>
      <c r="M90" s="128"/>
      <c r="N90" s="128" t="s">
        <v>311</v>
      </c>
      <c r="O90" s="128"/>
      <c r="P90" s="128" t="s">
        <v>311</v>
      </c>
      <c r="Q90" s="128"/>
      <c r="R90" s="128" t="s">
        <v>311</v>
      </c>
      <c r="S90" s="128"/>
      <c r="T90" s="250"/>
    </row>
    <row r="91" spans="1:20" ht="32" hidden="1" x14ac:dyDescent="0.2">
      <c r="A91" s="304"/>
      <c r="B91" s="250"/>
      <c r="C91" s="250"/>
      <c r="D91" s="250"/>
      <c r="E91" s="305"/>
      <c r="F91" s="130"/>
      <c r="G91" s="299"/>
      <c r="H91" s="300"/>
      <c r="I91" s="301"/>
      <c r="J91" s="250"/>
      <c r="K91" s="250"/>
      <c r="L91" s="287"/>
      <c r="M91" s="287"/>
      <c r="N91" s="128" t="s">
        <v>372</v>
      </c>
      <c r="O91" s="128"/>
      <c r="P91" s="287"/>
      <c r="Q91" s="287"/>
      <c r="R91" s="287"/>
      <c r="S91" s="287"/>
      <c r="T91" s="250"/>
    </row>
    <row r="92" spans="1:20" ht="48" hidden="1" customHeight="1" x14ac:dyDescent="0.2">
      <c r="A92" s="304"/>
      <c r="B92" s="250" t="s">
        <v>3</v>
      </c>
      <c r="C92" s="250" t="s">
        <v>3</v>
      </c>
      <c r="D92" s="250" t="s">
        <v>3</v>
      </c>
      <c r="E92" s="305" t="s">
        <v>3</v>
      </c>
      <c r="F92" s="291"/>
      <c r="G92" s="299" t="s">
        <v>17</v>
      </c>
      <c r="H92" s="300" t="s">
        <v>58</v>
      </c>
      <c r="I92" s="301" t="s">
        <v>275</v>
      </c>
      <c r="J92" s="250"/>
      <c r="K92" s="2" t="s">
        <v>210</v>
      </c>
      <c r="L92" s="165"/>
      <c r="M92" s="165"/>
      <c r="N92" s="165"/>
      <c r="O92" s="165"/>
      <c r="P92" s="165"/>
      <c r="Q92" s="165"/>
      <c r="R92" s="165"/>
      <c r="S92" s="165"/>
      <c r="T92" s="250" t="s">
        <v>412</v>
      </c>
    </row>
    <row r="93" spans="1:20" ht="32" hidden="1" x14ac:dyDescent="0.2">
      <c r="A93" s="304"/>
      <c r="B93" s="250"/>
      <c r="C93" s="250"/>
      <c r="D93" s="250"/>
      <c r="E93" s="305"/>
      <c r="F93" s="291"/>
      <c r="G93" s="299"/>
      <c r="H93" s="300"/>
      <c r="I93" s="301"/>
      <c r="J93" s="250"/>
      <c r="K93" s="2" t="s">
        <v>211</v>
      </c>
      <c r="L93" s="165"/>
      <c r="M93" s="165"/>
      <c r="N93" s="165"/>
      <c r="O93" s="165"/>
      <c r="P93" s="165"/>
      <c r="Q93" s="165"/>
      <c r="R93" s="165"/>
      <c r="S93" s="165"/>
      <c r="T93" s="250"/>
    </row>
    <row r="94" spans="1:20" ht="32" hidden="1" x14ac:dyDescent="0.2">
      <c r="A94" s="304"/>
      <c r="B94" s="250"/>
      <c r="C94" s="250"/>
      <c r="D94" s="250"/>
      <c r="E94" s="305"/>
      <c r="F94" s="130"/>
      <c r="G94" s="299"/>
      <c r="H94" s="300"/>
      <c r="I94" s="301"/>
      <c r="J94" s="250"/>
      <c r="K94" s="250" t="s">
        <v>265</v>
      </c>
      <c r="L94" s="128" t="s">
        <v>382</v>
      </c>
      <c r="M94" s="128"/>
      <c r="N94" s="128" t="s">
        <v>382</v>
      </c>
      <c r="O94" s="128"/>
      <c r="P94" s="128" t="s">
        <v>382</v>
      </c>
      <c r="Q94" s="128"/>
      <c r="R94" s="128" t="s">
        <v>382</v>
      </c>
      <c r="S94" s="128"/>
      <c r="T94" s="250"/>
    </row>
    <row r="95" spans="1:20" ht="16" hidden="1" x14ac:dyDescent="0.2">
      <c r="A95" s="304"/>
      <c r="B95" s="250"/>
      <c r="C95" s="250"/>
      <c r="D95" s="250"/>
      <c r="E95" s="305"/>
      <c r="F95" s="130"/>
      <c r="G95" s="299"/>
      <c r="H95" s="300"/>
      <c r="I95" s="301"/>
      <c r="J95" s="250"/>
      <c r="K95" s="250"/>
      <c r="L95" s="128" t="s">
        <v>383</v>
      </c>
      <c r="M95" s="128"/>
      <c r="N95" s="128" t="s">
        <v>383</v>
      </c>
      <c r="O95" s="128"/>
      <c r="P95" s="128" t="s">
        <v>383</v>
      </c>
      <c r="Q95" s="128"/>
      <c r="R95" s="128" t="s">
        <v>383</v>
      </c>
      <c r="S95" s="128"/>
      <c r="T95" s="250"/>
    </row>
    <row r="96" spans="1:20" ht="16" hidden="1" x14ac:dyDescent="0.2">
      <c r="A96" s="304"/>
      <c r="B96" s="250"/>
      <c r="C96" s="250"/>
      <c r="D96" s="250"/>
      <c r="E96" s="305"/>
      <c r="F96" s="130"/>
      <c r="G96" s="299"/>
      <c r="H96" s="300"/>
      <c r="I96" s="301"/>
      <c r="J96" s="250"/>
      <c r="K96" s="250"/>
      <c r="L96" s="287"/>
      <c r="M96" s="287"/>
      <c r="N96" s="287"/>
      <c r="O96" s="287"/>
      <c r="P96" s="128" t="s">
        <v>373</v>
      </c>
      <c r="Q96" s="128"/>
      <c r="R96" s="287"/>
      <c r="S96" s="287"/>
      <c r="T96" s="250"/>
    </row>
    <row r="97" spans="1:20" ht="48" hidden="1" x14ac:dyDescent="0.2">
      <c r="A97" s="304"/>
      <c r="B97" s="250" t="s">
        <v>3</v>
      </c>
      <c r="C97" s="250" t="s">
        <v>3</v>
      </c>
      <c r="D97" s="250" t="s">
        <v>3</v>
      </c>
      <c r="E97" s="305" t="s">
        <v>3</v>
      </c>
      <c r="F97" s="291"/>
      <c r="G97" s="299" t="s">
        <v>17</v>
      </c>
      <c r="H97" s="300" t="s">
        <v>154</v>
      </c>
      <c r="I97" s="301" t="s">
        <v>186</v>
      </c>
      <c r="J97" s="250"/>
      <c r="K97" s="2" t="s">
        <v>210</v>
      </c>
      <c r="L97" s="165"/>
      <c r="M97" s="165"/>
      <c r="N97" s="165"/>
      <c r="O97" s="165"/>
      <c r="P97" s="165"/>
      <c r="Q97" s="165"/>
      <c r="R97" s="165"/>
      <c r="S97" s="165"/>
      <c r="T97" s="250" t="s">
        <v>413</v>
      </c>
    </row>
    <row r="98" spans="1:20" ht="32" hidden="1" x14ac:dyDescent="0.2">
      <c r="A98" s="304"/>
      <c r="B98" s="250"/>
      <c r="C98" s="250"/>
      <c r="D98" s="250"/>
      <c r="E98" s="305"/>
      <c r="F98" s="291"/>
      <c r="G98" s="299"/>
      <c r="H98" s="300"/>
      <c r="I98" s="301"/>
      <c r="J98" s="250"/>
      <c r="K98" s="2" t="s">
        <v>211</v>
      </c>
      <c r="L98" s="165"/>
      <c r="M98" s="165"/>
      <c r="N98" s="165"/>
      <c r="O98" s="165"/>
      <c r="P98" s="165"/>
      <c r="Q98" s="165"/>
      <c r="R98" s="165"/>
      <c r="S98" s="165"/>
      <c r="T98" s="250"/>
    </row>
    <row r="99" spans="1:20" ht="16" hidden="1" x14ac:dyDescent="0.2">
      <c r="A99" s="304"/>
      <c r="B99" s="250"/>
      <c r="C99" s="250"/>
      <c r="D99" s="250"/>
      <c r="E99" s="305"/>
      <c r="F99" s="130"/>
      <c r="G99" s="299"/>
      <c r="H99" s="300"/>
      <c r="I99" s="301"/>
      <c r="J99" s="250"/>
      <c r="K99" s="250" t="s">
        <v>265</v>
      </c>
      <c r="L99" s="128" t="s">
        <v>312</v>
      </c>
      <c r="M99" s="128"/>
      <c r="N99" s="128" t="s">
        <v>312</v>
      </c>
      <c r="O99" s="128"/>
      <c r="P99" s="128" t="s">
        <v>312</v>
      </c>
      <c r="Q99" s="128"/>
      <c r="R99" s="128" t="s">
        <v>312</v>
      </c>
      <c r="S99" s="128"/>
      <c r="T99" s="250"/>
    </row>
    <row r="100" spans="1:20" ht="16" hidden="1" x14ac:dyDescent="0.2">
      <c r="A100" s="304"/>
      <c r="B100" s="250"/>
      <c r="C100" s="250"/>
      <c r="D100" s="250"/>
      <c r="E100" s="305"/>
      <c r="F100" s="130"/>
      <c r="G100" s="299"/>
      <c r="H100" s="300"/>
      <c r="I100" s="301"/>
      <c r="J100" s="250"/>
      <c r="K100" s="250"/>
      <c r="L100" s="128" t="s">
        <v>313</v>
      </c>
      <c r="M100" s="128"/>
      <c r="N100" s="128" t="s">
        <v>313</v>
      </c>
      <c r="O100" s="128"/>
      <c r="P100" s="128" t="s">
        <v>313</v>
      </c>
      <c r="Q100" s="128"/>
      <c r="R100" s="128" t="s">
        <v>313</v>
      </c>
      <c r="S100" s="128"/>
      <c r="T100" s="250"/>
    </row>
    <row r="101" spans="1:20" ht="16" hidden="1" x14ac:dyDescent="0.2">
      <c r="A101" s="304"/>
      <c r="B101" s="250"/>
      <c r="C101" s="250"/>
      <c r="D101" s="250"/>
      <c r="E101" s="305"/>
      <c r="F101" s="130"/>
      <c r="G101" s="299"/>
      <c r="H101" s="300"/>
      <c r="I101" s="301"/>
      <c r="J101" s="250"/>
      <c r="K101" s="250"/>
      <c r="L101" s="128" t="s">
        <v>314</v>
      </c>
      <c r="M101" s="128"/>
      <c r="N101" s="128" t="s">
        <v>314</v>
      </c>
      <c r="O101" s="128"/>
      <c r="P101" s="128" t="s">
        <v>314</v>
      </c>
      <c r="Q101" s="128"/>
      <c r="R101" s="128" t="s">
        <v>314</v>
      </c>
      <c r="S101" s="128"/>
      <c r="T101" s="250"/>
    </row>
    <row r="102" spans="1:20" ht="32" hidden="1" x14ac:dyDescent="0.2">
      <c r="A102" s="304"/>
      <c r="B102" s="250"/>
      <c r="C102" s="250"/>
      <c r="D102" s="250"/>
      <c r="E102" s="305"/>
      <c r="F102" s="130"/>
      <c r="G102" s="299"/>
      <c r="H102" s="300"/>
      <c r="I102" s="301"/>
      <c r="J102" s="250"/>
      <c r="K102" s="250"/>
      <c r="L102" s="128" t="s">
        <v>315</v>
      </c>
      <c r="M102" s="128"/>
      <c r="N102" s="128" t="s">
        <v>316</v>
      </c>
      <c r="O102" s="128"/>
      <c r="P102" s="128" t="s">
        <v>316</v>
      </c>
      <c r="Q102" s="128"/>
      <c r="R102" s="128" t="s">
        <v>315</v>
      </c>
      <c r="S102" s="128"/>
      <c r="T102" s="250"/>
    </row>
    <row r="103" spans="1:20" ht="16" hidden="1" x14ac:dyDescent="0.2">
      <c r="A103" s="304"/>
      <c r="B103" s="250"/>
      <c r="C103" s="250"/>
      <c r="D103" s="250"/>
      <c r="E103" s="305"/>
      <c r="F103" s="130"/>
      <c r="G103" s="299"/>
      <c r="H103" s="300"/>
      <c r="I103" s="301"/>
      <c r="J103" s="250"/>
      <c r="K103" s="250"/>
      <c r="L103" s="128" t="s">
        <v>316</v>
      </c>
      <c r="M103" s="128"/>
      <c r="N103" s="287"/>
      <c r="O103" s="287"/>
      <c r="P103" s="287"/>
      <c r="Q103" s="287"/>
      <c r="R103" s="128" t="s">
        <v>316</v>
      </c>
      <c r="S103" s="128"/>
      <c r="T103" s="250"/>
    </row>
    <row r="104" spans="1:20" ht="48" x14ac:dyDescent="0.2">
      <c r="A104" s="304"/>
      <c r="B104" s="250"/>
      <c r="C104" s="304"/>
      <c r="D104" s="304"/>
      <c r="E104" s="305" t="s">
        <v>3</v>
      </c>
      <c r="F104" s="291" t="s">
        <v>3</v>
      </c>
      <c r="G104" s="300" t="s">
        <v>5</v>
      </c>
      <c r="H104" s="303" t="s">
        <v>166</v>
      </c>
      <c r="I104" s="301" t="s">
        <v>346</v>
      </c>
      <c r="J104" s="250"/>
      <c r="K104" s="2" t="s">
        <v>210</v>
      </c>
      <c r="L104" s="287"/>
      <c r="M104" s="287"/>
      <c r="N104" s="287"/>
      <c r="O104" s="287"/>
      <c r="P104" s="287"/>
      <c r="Q104" s="287"/>
      <c r="R104" s="128"/>
      <c r="S104" s="128"/>
      <c r="T104" s="250" t="s">
        <v>410</v>
      </c>
    </row>
    <row r="105" spans="1:20" ht="32" x14ac:dyDescent="0.2">
      <c r="A105" s="304"/>
      <c r="B105" s="250"/>
      <c r="C105" s="304"/>
      <c r="D105" s="304"/>
      <c r="E105" s="305"/>
      <c r="F105" s="291"/>
      <c r="G105" s="300"/>
      <c r="H105" s="303"/>
      <c r="I105" s="301"/>
      <c r="J105" s="250"/>
      <c r="K105" s="2" t="s">
        <v>211</v>
      </c>
      <c r="L105" s="287"/>
      <c r="M105" s="287"/>
      <c r="N105" s="287"/>
      <c r="O105" s="287"/>
      <c r="P105" s="287"/>
      <c r="Q105" s="287"/>
      <c r="R105" s="128"/>
      <c r="S105" s="128"/>
      <c r="T105" s="250"/>
    </row>
    <row r="106" spans="1:20" ht="32" x14ac:dyDescent="0.2">
      <c r="A106" s="304"/>
      <c r="B106" s="250"/>
      <c r="C106" s="304"/>
      <c r="D106" s="304"/>
      <c r="E106" s="305"/>
      <c r="F106" s="130"/>
      <c r="G106" s="300"/>
      <c r="H106" s="303"/>
      <c r="I106" s="301"/>
      <c r="J106" s="250"/>
      <c r="K106" s="250" t="s">
        <v>265</v>
      </c>
      <c r="L106" s="287"/>
      <c r="M106" s="287"/>
      <c r="N106" s="287"/>
      <c r="O106" s="287"/>
      <c r="P106" s="287"/>
      <c r="Q106" s="287"/>
      <c r="R106" s="128" t="s">
        <v>339</v>
      </c>
      <c r="S106" s="128"/>
      <c r="T106" s="250"/>
    </row>
    <row r="107" spans="1:20" ht="16" x14ac:dyDescent="0.2">
      <c r="A107" s="304"/>
      <c r="B107" s="250"/>
      <c r="C107" s="304"/>
      <c r="D107" s="304"/>
      <c r="E107" s="305"/>
      <c r="F107" s="130"/>
      <c r="G107" s="300"/>
      <c r="H107" s="303"/>
      <c r="I107" s="301"/>
      <c r="J107" s="250"/>
      <c r="K107" s="250"/>
      <c r="L107" s="287"/>
      <c r="M107" s="287"/>
      <c r="N107" s="287"/>
      <c r="O107" s="287"/>
      <c r="P107" s="287"/>
      <c r="Q107" s="287"/>
      <c r="R107" s="128" t="s">
        <v>340</v>
      </c>
      <c r="S107" s="128"/>
      <c r="T107" s="250"/>
    </row>
    <row r="108" spans="1:20" ht="16" x14ac:dyDescent="0.2">
      <c r="A108" s="304"/>
      <c r="B108" s="250"/>
      <c r="C108" s="304"/>
      <c r="D108" s="304"/>
      <c r="E108" s="305"/>
      <c r="F108" s="130"/>
      <c r="G108" s="300"/>
      <c r="H108" s="303"/>
      <c r="I108" s="301"/>
      <c r="J108" s="250"/>
      <c r="K108" s="250"/>
      <c r="L108" s="287"/>
      <c r="M108" s="287"/>
      <c r="N108" s="287"/>
      <c r="O108" s="287"/>
      <c r="P108" s="287"/>
      <c r="Q108" s="287"/>
      <c r="R108" s="128" t="s">
        <v>341</v>
      </c>
      <c r="S108" s="128"/>
      <c r="T108" s="250"/>
    </row>
    <row r="109" spans="1:20" ht="16" x14ac:dyDescent="0.2">
      <c r="A109" s="304"/>
      <c r="B109" s="250"/>
      <c r="C109" s="304"/>
      <c r="D109" s="304"/>
      <c r="E109" s="305"/>
      <c r="F109" s="130"/>
      <c r="G109" s="300"/>
      <c r="H109" s="303"/>
      <c r="I109" s="301"/>
      <c r="J109" s="250"/>
      <c r="K109" s="250"/>
      <c r="L109" s="287"/>
      <c r="M109" s="287"/>
      <c r="N109" s="287"/>
      <c r="O109" s="287"/>
      <c r="P109" s="287"/>
      <c r="Q109" s="287"/>
      <c r="R109" s="128" t="s">
        <v>342</v>
      </c>
      <c r="S109" s="128"/>
      <c r="T109" s="250"/>
    </row>
    <row r="110" spans="1:20" ht="16" x14ac:dyDescent="0.2">
      <c r="A110" s="304"/>
      <c r="B110" s="250"/>
      <c r="C110" s="304"/>
      <c r="D110" s="304"/>
      <c r="E110" s="305"/>
      <c r="F110" s="130"/>
      <c r="G110" s="300"/>
      <c r="H110" s="303"/>
      <c r="I110" s="301"/>
      <c r="J110" s="250"/>
      <c r="K110" s="250"/>
      <c r="L110" s="287"/>
      <c r="M110" s="287"/>
      <c r="N110" s="287"/>
      <c r="O110" s="287"/>
      <c r="P110" s="287"/>
      <c r="Q110" s="287"/>
      <c r="R110" s="128" t="s">
        <v>343</v>
      </c>
      <c r="S110" s="128"/>
      <c r="T110" s="250"/>
    </row>
    <row r="111" spans="1:20" ht="54.5" hidden="1" customHeight="1" x14ac:dyDescent="0.2">
      <c r="A111" s="304"/>
      <c r="B111" s="250" t="s">
        <v>3</v>
      </c>
      <c r="C111" s="250" t="s">
        <v>3</v>
      </c>
      <c r="D111" s="250" t="s">
        <v>3</v>
      </c>
      <c r="E111" s="305" t="s">
        <v>3</v>
      </c>
      <c r="F111" s="291" t="s">
        <v>3</v>
      </c>
      <c r="G111" s="299" t="s">
        <v>18</v>
      </c>
      <c r="H111" s="303" t="s">
        <v>155</v>
      </c>
      <c r="I111" s="301" t="s">
        <v>261</v>
      </c>
      <c r="J111" s="250"/>
      <c r="K111" s="2" t="s">
        <v>210</v>
      </c>
      <c r="L111" s="165"/>
      <c r="M111" s="165"/>
      <c r="N111" s="165"/>
      <c r="O111" s="165"/>
      <c r="P111" s="165"/>
      <c r="Q111" s="165"/>
      <c r="R111" s="165"/>
      <c r="S111" s="165"/>
      <c r="T111" s="250" t="s">
        <v>414</v>
      </c>
    </row>
    <row r="112" spans="1:20" ht="32" hidden="1" x14ac:dyDescent="0.2">
      <c r="A112" s="304"/>
      <c r="B112" s="250"/>
      <c r="C112" s="250"/>
      <c r="D112" s="250"/>
      <c r="E112" s="305"/>
      <c r="F112" s="291"/>
      <c r="G112" s="299"/>
      <c r="H112" s="303"/>
      <c r="I112" s="301"/>
      <c r="J112" s="250"/>
      <c r="K112" s="2" t="s">
        <v>211</v>
      </c>
      <c r="L112" s="165"/>
      <c r="M112" s="165"/>
      <c r="N112" s="165"/>
      <c r="O112" s="165"/>
      <c r="P112" s="165"/>
      <c r="Q112" s="165"/>
      <c r="R112" s="165"/>
      <c r="S112" s="165"/>
      <c r="T112" s="250"/>
    </row>
    <row r="113" spans="1:20" ht="16" hidden="1" x14ac:dyDescent="0.2">
      <c r="A113" s="304"/>
      <c r="B113" s="250"/>
      <c r="C113" s="250"/>
      <c r="D113" s="250"/>
      <c r="E113" s="305"/>
      <c r="F113" s="130"/>
      <c r="G113" s="299"/>
      <c r="H113" s="303"/>
      <c r="I113" s="301"/>
      <c r="J113" s="250"/>
      <c r="K113" s="250" t="s">
        <v>265</v>
      </c>
      <c r="L113" s="128" t="s">
        <v>321</v>
      </c>
      <c r="M113" s="128"/>
      <c r="N113" s="128" t="s">
        <v>321</v>
      </c>
      <c r="O113" s="128"/>
      <c r="P113" s="128" t="s">
        <v>321</v>
      </c>
      <c r="Q113" s="128"/>
      <c r="R113" s="128" t="s">
        <v>321</v>
      </c>
      <c r="S113" s="128"/>
      <c r="T113" s="250"/>
    </row>
    <row r="114" spans="1:20" ht="16" hidden="1" x14ac:dyDescent="0.2">
      <c r="A114" s="304"/>
      <c r="B114" s="250"/>
      <c r="C114" s="250"/>
      <c r="D114" s="250"/>
      <c r="E114" s="305"/>
      <c r="F114" s="130"/>
      <c r="G114" s="299"/>
      <c r="H114" s="303"/>
      <c r="I114" s="301"/>
      <c r="J114" s="250"/>
      <c r="K114" s="250"/>
      <c r="L114" s="128" t="s">
        <v>322</v>
      </c>
      <c r="M114" s="128"/>
      <c r="N114" s="128" t="s">
        <v>322</v>
      </c>
      <c r="O114" s="128"/>
      <c r="P114" s="128" t="s">
        <v>322</v>
      </c>
      <c r="Q114" s="128"/>
      <c r="R114" s="128" t="s">
        <v>322</v>
      </c>
      <c r="S114" s="128"/>
      <c r="T114" s="250"/>
    </row>
    <row r="115" spans="1:20" ht="32" hidden="1" x14ac:dyDescent="0.2">
      <c r="A115" s="304"/>
      <c r="B115" s="250"/>
      <c r="C115" s="250"/>
      <c r="D115" s="250"/>
      <c r="E115" s="305"/>
      <c r="F115" s="130"/>
      <c r="G115" s="299"/>
      <c r="H115" s="303"/>
      <c r="I115" s="301"/>
      <c r="J115" s="250"/>
      <c r="K115" s="250"/>
      <c r="L115" s="128" t="s">
        <v>323</v>
      </c>
      <c r="M115" s="128"/>
      <c r="N115" s="128" t="s">
        <v>323</v>
      </c>
      <c r="O115" s="128"/>
      <c r="P115" s="128" t="s">
        <v>374</v>
      </c>
      <c r="Q115" s="128"/>
      <c r="R115" s="128" t="s">
        <v>323</v>
      </c>
      <c r="S115" s="128"/>
      <c r="T115" s="250"/>
    </row>
    <row r="116" spans="1:20" ht="48" customHeight="1" x14ac:dyDescent="0.2">
      <c r="A116" s="304"/>
      <c r="B116" s="250" t="s">
        <v>3</v>
      </c>
      <c r="C116" s="250" t="s">
        <v>3</v>
      </c>
      <c r="D116" s="250" t="s">
        <v>3</v>
      </c>
      <c r="E116" s="305" t="s">
        <v>3</v>
      </c>
      <c r="F116" s="291" t="s">
        <v>3</v>
      </c>
      <c r="G116" s="299" t="s">
        <v>18</v>
      </c>
      <c r="H116" s="303" t="s">
        <v>156</v>
      </c>
      <c r="I116" s="301" t="s">
        <v>350</v>
      </c>
      <c r="J116" s="250"/>
      <c r="K116" s="2" t="s">
        <v>210</v>
      </c>
      <c r="L116" s="165"/>
      <c r="M116" s="165"/>
      <c r="N116" s="165"/>
      <c r="O116" s="165"/>
      <c r="P116" s="165"/>
      <c r="Q116" s="165"/>
      <c r="R116" s="165"/>
      <c r="S116" s="165"/>
      <c r="T116" s="250" t="s">
        <v>415</v>
      </c>
    </row>
    <row r="117" spans="1:20" ht="32" x14ac:dyDescent="0.2">
      <c r="A117" s="304"/>
      <c r="B117" s="250"/>
      <c r="C117" s="250"/>
      <c r="D117" s="250"/>
      <c r="E117" s="305"/>
      <c r="F117" s="291"/>
      <c r="G117" s="299"/>
      <c r="H117" s="303"/>
      <c r="I117" s="301"/>
      <c r="J117" s="250"/>
      <c r="K117" s="2" t="s">
        <v>211</v>
      </c>
      <c r="L117" s="165"/>
      <c r="M117" s="165"/>
      <c r="N117" s="165"/>
      <c r="O117" s="165"/>
      <c r="P117" s="165"/>
      <c r="Q117" s="165"/>
      <c r="R117" s="165"/>
      <c r="S117" s="165"/>
      <c r="T117" s="250"/>
    </row>
    <row r="118" spans="1:20" ht="16" x14ac:dyDescent="0.2">
      <c r="A118" s="304"/>
      <c r="B118" s="250"/>
      <c r="C118" s="250"/>
      <c r="D118" s="250"/>
      <c r="E118" s="305"/>
      <c r="F118" s="130"/>
      <c r="G118" s="299"/>
      <c r="H118" s="303"/>
      <c r="I118" s="301"/>
      <c r="J118" s="250"/>
      <c r="K118" s="250" t="s">
        <v>265</v>
      </c>
      <c r="L118" s="128" t="s">
        <v>324</v>
      </c>
      <c r="M118" s="128"/>
      <c r="N118" s="128" t="s">
        <v>324</v>
      </c>
      <c r="O118" s="128"/>
      <c r="P118" s="128" t="s">
        <v>324</v>
      </c>
      <c r="Q118" s="128"/>
      <c r="R118" s="128" t="s">
        <v>324</v>
      </c>
      <c r="S118" s="128"/>
      <c r="T118" s="250"/>
    </row>
    <row r="119" spans="1:20" ht="16" x14ac:dyDescent="0.2">
      <c r="A119" s="304"/>
      <c r="B119" s="250"/>
      <c r="C119" s="250"/>
      <c r="D119" s="250"/>
      <c r="E119" s="305"/>
      <c r="F119" s="130"/>
      <c r="G119" s="299"/>
      <c r="H119" s="303"/>
      <c r="I119" s="301"/>
      <c r="J119" s="250"/>
      <c r="K119" s="250"/>
      <c r="L119" s="128" t="s">
        <v>325</v>
      </c>
      <c r="M119" s="128"/>
      <c r="N119" s="128" t="s">
        <v>325</v>
      </c>
      <c r="O119" s="128"/>
      <c r="P119" s="128" t="s">
        <v>325</v>
      </c>
      <c r="Q119" s="128"/>
      <c r="R119" s="128" t="s">
        <v>325</v>
      </c>
      <c r="S119" s="128"/>
      <c r="T119" s="250"/>
    </row>
    <row r="120" spans="1:20" ht="43.25" hidden="1" customHeight="1" x14ac:dyDescent="0.2">
      <c r="A120" s="304"/>
      <c r="B120" s="250" t="s">
        <v>3</v>
      </c>
      <c r="C120" s="250" t="s">
        <v>3</v>
      </c>
      <c r="D120" s="250" t="s">
        <v>3</v>
      </c>
      <c r="E120" s="305" t="s">
        <v>3</v>
      </c>
      <c r="F120" s="291"/>
      <c r="G120" s="299" t="s">
        <v>19</v>
      </c>
      <c r="H120" s="300" t="s">
        <v>59</v>
      </c>
      <c r="I120" s="301" t="s">
        <v>262</v>
      </c>
      <c r="J120" s="250"/>
      <c r="K120" s="2" t="s">
        <v>210</v>
      </c>
      <c r="L120" s="165"/>
      <c r="M120" s="165"/>
      <c r="N120" s="165"/>
      <c r="O120" s="165"/>
      <c r="P120" s="165"/>
      <c r="Q120" s="165"/>
      <c r="R120" s="165"/>
      <c r="S120" s="165"/>
      <c r="T120" s="250" t="s">
        <v>410</v>
      </c>
    </row>
    <row r="121" spans="1:20" ht="48" hidden="1" x14ac:dyDescent="0.2">
      <c r="A121" s="304"/>
      <c r="B121" s="250"/>
      <c r="C121" s="250"/>
      <c r="D121" s="250"/>
      <c r="E121" s="305"/>
      <c r="F121" s="291"/>
      <c r="G121" s="299"/>
      <c r="H121" s="300"/>
      <c r="I121" s="301"/>
      <c r="J121" s="250"/>
      <c r="K121" s="2" t="s">
        <v>215</v>
      </c>
      <c r="L121" s="165"/>
      <c r="M121" s="165"/>
      <c r="N121" s="165"/>
      <c r="O121" s="165"/>
      <c r="P121" s="165"/>
      <c r="Q121" s="165"/>
      <c r="R121" s="165"/>
      <c r="S121" s="165"/>
      <c r="T121" s="250"/>
    </row>
    <row r="122" spans="1:20" ht="64" hidden="1" x14ac:dyDescent="0.2">
      <c r="A122" s="304"/>
      <c r="B122" s="250"/>
      <c r="C122" s="250"/>
      <c r="D122" s="250"/>
      <c r="E122" s="305"/>
      <c r="F122" s="291"/>
      <c r="G122" s="299"/>
      <c r="H122" s="300"/>
      <c r="I122" s="301"/>
      <c r="J122" s="250"/>
      <c r="K122" s="2" t="s">
        <v>216</v>
      </c>
      <c r="L122" s="165"/>
      <c r="M122" s="165"/>
      <c r="N122" s="165"/>
      <c r="O122" s="165"/>
      <c r="P122" s="165"/>
      <c r="Q122" s="165"/>
      <c r="R122" s="165"/>
      <c r="S122" s="165"/>
      <c r="T122" s="250"/>
    </row>
    <row r="123" spans="1:20" ht="16" hidden="1" x14ac:dyDescent="0.2">
      <c r="A123" s="304"/>
      <c r="B123" s="250"/>
      <c r="C123" s="250"/>
      <c r="D123" s="250"/>
      <c r="E123" s="305"/>
      <c r="F123" s="130"/>
      <c r="G123" s="299"/>
      <c r="H123" s="300"/>
      <c r="I123" s="301"/>
      <c r="J123" s="250"/>
      <c r="K123" s="250" t="s">
        <v>265</v>
      </c>
      <c r="L123" s="128" t="s">
        <v>326</v>
      </c>
      <c r="M123" s="128"/>
      <c r="N123" s="128" t="s">
        <v>326</v>
      </c>
      <c r="O123" s="128"/>
      <c r="P123" s="128" t="s">
        <v>326</v>
      </c>
      <c r="Q123" s="128"/>
      <c r="R123" s="128" t="s">
        <v>326</v>
      </c>
      <c r="S123" s="128"/>
      <c r="T123" s="250"/>
    </row>
    <row r="124" spans="1:20" ht="16" hidden="1" x14ac:dyDescent="0.2">
      <c r="A124" s="304"/>
      <c r="B124" s="250"/>
      <c r="C124" s="250"/>
      <c r="D124" s="250"/>
      <c r="E124" s="305"/>
      <c r="F124" s="130"/>
      <c r="G124" s="299"/>
      <c r="H124" s="300"/>
      <c r="I124" s="301"/>
      <c r="J124" s="250"/>
      <c r="K124" s="250"/>
      <c r="L124" s="128" t="s">
        <v>327</v>
      </c>
      <c r="M124" s="128"/>
      <c r="N124" s="128" t="s">
        <v>327</v>
      </c>
      <c r="O124" s="128"/>
      <c r="P124" s="128" t="s">
        <v>327</v>
      </c>
      <c r="Q124" s="128"/>
      <c r="R124" s="128" t="s">
        <v>327</v>
      </c>
      <c r="S124" s="128"/>
      <c r="T124" s="250"/>
    </row>
    <row r="125" spans="1:20" ht="16" hidden="1" x14ac:dyDescent="0.2">
      <c r="A125" s="304"/>
      <c r="B125" s="250"/>
      <c r="C125" s="250"/>
      <c r="D125" s="250"/>
      <c r="E125" s="305"/>
      <c r="F125" s="130"/>
      <c r="G125" s="299"/>
      <c r="H125" s="300"/>
      <c r="I125" s="301"/>
      <c r="J125" s="250"/>
      <c r="K125" s="250"/>
      <c r="L125" s="138" t="s">
        <v>384</v>
      </c>
      <c r="M125" s="128"/>
      <c r="N125" s="138" t="s">
        <v>384</v>
      </c>
      <c r="O125" s="128"/>
      <c r="P125" s="138" t="s">
        <v>384</v>
      </c>
      <c r="Q125" s="128"/>
      <c r="R125" s="138" t="s">
        <v>384</v>
      </c>
      <c r="S125" s="128"/>
      <c r="T125" s="250"/>
    </row>
    <row r="126" spans="1:20" ht="48" customHeight="1" x14ac:dyDescent="0.2">
      <c r="A126" s="304"/>
      <c r="B126" s="250" t="s">
        <v>3</v>
      </c>
      <c r="C126" s="250" t="s">
        <v>3</v>
      </c>
      <c r="D126" s="250" t="s">
        <v>3</v>
      </c>
      <c r="E126" s="305" t="s">
        <v>3</v>
      </c>
      <c r="F126" s="291" t="s">
        <v>3</v>
      </c>
      <c r="G126" s="299" t="s">
        <v>19</v>
      </c>
      <c r="H126" s="300" t="s">
        <v>157</v>
      </c>
      <c r="I126" s="301" t="s">
        <v>187</v>
      </c>
      <c r="J126" s="250"/>
      <c r="K126" s="2" t="s">
        <v>210</v>
      </c>
      <c r="L126" s="165"/>
      <c r="M126" s="165"/>
      <c r="N126" s="165"/>
      <c r="O126" s="165"/>
      <c r="P126" s="165"/>
      <c r="Q126" s="165"/>
      <c r="R126" s="165"/>
      <c r="S126" s="165"/>
      <c r="T126" s="250" t="s">
        <v>416</v>
      </c>
    </row>
    <row r="127" spans="1:20" ht="48" x14ac:dyDescent="0.2">
      <c r="A127" s="304"/>
      <c r="B127" s="250"/>
      <c r="C127" s="250"/>
      <c r="D127" s="250"/>
      <c r="E127" s="305"/>
      <c r="F127" s="291"/>
      <c r="G127" s="299"/>
      <c r="H127" s="300"/>
      <c r="I127" s="301"/>
      <c r="J127" s="250"/>
      <c r="K127" s="2" t="s">
        <v>215</v>
      </c>
      <c r="L127" s="165"/>
      <c r="M127" s="165"/>
      <c r="N127" s="165"/>
      <c r="O127" s="165"/>
      <c r="P127" s="165"/>
      <c r="Q127" s="165"/>
      <c r="R127" s="165"/>
      <c r="S127" s="165"/>
      <c r="T127" s="250"/>
    </row>
    <row r="128" spans="1:20" ht="64" x14ac:dyDescent="0.2">
      <c r="A128" s="304"/>
      <c r="B128" s="250"/>
      <c r="C128" s="250"/>
      <c r="D128" s="250"/>
      <c r="E128" s="305"/>
      <c r="F128" s="291"/>
      <c r="G128" s="299"/>
      <c r="H128" s="300"/>
      <c r="I128" s="301"/>
      <c r="J128" s="250"/>
      <c r="K128" s="2" t="s">
        <v>216</v>
      </c>
      <c r="L128" s="165"/>
      <c r="M128" s="165"/>
      <c r="N128" s="165"/>
      <c r="O128" s="165"/>
      <c r="P128" s="165"/>
      <c r="Q128" s="165"/>
      <c r="R128" s="165"/>
      <c r="S128" s="165"/>
      <c r="T128" s="250"/>
    </row>
    <row r="129" spans="1:20" ht="16" x14ac:dyDescent="0.2">
      <c r="A129" s="304"/>
      <c r="B129" s="250"/>
      <c r="C129" s="250"/>
      <c r="D129" s="250"/>
      <c r="E129" s="305"/>
      <c r="F129" s="130"/>
      <c r="G129" s="299"/>
      <c r="H129" s="300"/>
      <c r="I129" s="301"/>
      <c r="J129" s="250"/>
      <c r="K129" s="250" t="s">
        <v>265</v>
      </c>
      <c r="L129" s="128" t="s">
        <v>328</v>
      </c>
      <c r="M129" s="128"/>
      <c r="N129" s="128" t="s">
        <v>328</v>
      </c>
      <c r="O129" s="128"/>
      <c r="P129" s="128" t="s">
        <v>328</v>
      </c>
      <c r="Q129" s="128"/>
      <c r="R129" s="128" t="s">
        <v>328</v>
      </c>
      <c r="S129" s="128"/>
      <c r="T129" s="250"/>
    </row>
    <row r="130" spans="1:20" ht="16" x14ac:dyDescent="0.2">
      <c r="A130" s="304"/>
      <c r="B130" s="250"/>
      <c r="C130" s="250"/>
      <c r="D130" s="250"/>
      <c r="E130" s="305"/>
      <c r="F130" s="130"/>
      <c r="G130" s="299"/>
      <c r="H130" s="300"/>
      <c r="I130" s="301"/>
      <c r="J130" s="250"/>
      <c r="K130" s="250"/>
      <c r="L130" s="138" t="s">
        <v>329</v>
      </c>
      <c r="M130" s="128"/>
      <c r="N130" s="138" t="s">
        <v>329</v>
      </c>
      <c r="O130" s="128"/>
      <c r="P130" s="138" t="s">
        <v>329</v>
      </c>
      <c r="Q130" s="128"/>
      <c r="R130" s="138" t="s">
        <v>329</v>
      </c>
      <c r="S130" s="128"/>
      <c r="T130" s="250"/>
    </row>
    <row r="131" spans="1:20" ht="28.75" customHeight="1" x14ac:dyDescent="0.2">
      <c r="A131" s="304"/>
      <c r="B131" s="250" t="s">
        <v>3</v>
      </c>
      <c r="C131" s="250" t="s">
        <v>3</v>
      </c>
      <c r="D131" s="250" t="s">
        <v>3</v>
      </c>
      <c r="E131" s="305" t="s">
        <v>3</v>
      </c>
      <c r="F131" s="291" t="s">
        <v>3</v>
      </c>
      <c r="G131" s="299" t="s">
        <v>19</v>
      </c>
      <c r="H131" s="300" t="s">
        <v>158</v>
      </c>
      <c r="I131" s="301" t="s">
        <v>187</v>
      </c>
      <c r="J131" s="250"/>
      <c r="K131" s="2" t="s">
        <v>210</v>
      </c>
      <c r="L131" s="165"/>
      <c r="M131" s="165"/>
      <c r="N131" s="165"/>
      <c r="O131" s="165"/>
      <c r="P131" s="165"/>
      <c r="Q131" s="165"/>
      <c r="R131" s="165"/>
      <c r="S131" s="165"/>
      <c r="T131" s="250" t="s">
        <v>416</v>
      </c>
    </row>
    <row r="132" spans="1:20" ht="48" x14ac:dyDescent="0.2">
      <c r="A132" s="304"/>
      <c r="B132" s="250"/>
      <c r="C132" s="250"/>
      <c r="D132" s="250"/>
      <c r="E132" s="305"/>
      <c r="F132" s="291"/>
      <c r="G132" s="299"/>
      <c r="H132" s="300"/>
      <c r="I132" s="301"/>
      <c r="J132" s="250"/>
      <c r="K132" s="2" t="s">
        <v>215</v>
      </c>
      <c r="L132" s="165"/>
      <c r="M132" s="165"/>
      <c r="N132" s="165"/>
      <c r="O132" s="165"/>
      <c r="P132" s="165"/>
      <c r="Q132" s="165"/>
      <c r="R132" s="165"/>
      <c r="S132" s="165"/>
      <c r="T132" s="250"/>
    </row>
    <row r="133" spans="1:20" ht="64" x14ac:dyDescent="0.2">
      <c r="A133" s="304"/>
      <c r="B133" s="250"/>
      <c r="C133" s="250"/>
      <c r="D133" s="250"/>
      <c r="E133" s="305"/>
      <c r="F133" s="291"/>
      <c r="G133" s="299"/>
      <c r="H133" s="300"/>
      <c r="I133" s="301"/>
      <c r="J133" s="250"/>
      <c r="K133" s="2" t="s">
        <v>216</v>
      </c>
      <c r="L133" s="165"/>
      <c r="M133" s="165"/>
      <c r="N133" s="165"/>
      <c r="O133" s="165"/>
      <c r="P133" s="165"/>
      <c r="Q133" s="165"/>
      <c r="R133" s="165"/>
      <c r="S133" s="165"/>
      <c r="T133" s="250"/>
    </row>
    <row r="134" spans="1:20" ht="16" x14ac:dyDescent="0.2">
      <c r="A134" s="304"/>
      <c r="B134" s="250"/>
      <c r="C134" s="250"/>
      <c r="D134" s="250"/>
      <c r="E134" s="305"/>
      <c r="F134" s="130"/>
      <c r="G134" s="299"/>
      <c r="H134" s="300"/>
      <c r="I134" s="301"/>
      <c r="J134" s="250"/>
      <c r="K134" s="250" t="s">
        <v>265</v>
      </c>
      <c r="L134" s="128" t="s">
        <v>328</v>
      </c>
      <c r="M134" s="128"/>
      <c r="N134" s="128" t="s">
        <v>328</v>
      </c>
      <c r="O134" s="128"/>
      <c r="P134" s="128" t="s">
        <v>328</v>
      </c>
      <c r="Q134" s="128"/>
      <c r="R134" s="128" t="s">
        <v>328</v>
      </c>
      <c r="S134" s="128"/>
      <c r="T134" s="250"/>
    </row>
    <row r="135" spans="1:20" ht="16" x14ac:dyDescent="0.2">
      <c r="A135" s="304"/>
      <c r="B135" s="250"/>
      <c r="C135" s="250"/>
      <c r="D135" s="250"/>
      <c r="E135" s="305"/>
      <c r="F135" s="130"/>
      <c r="G135" s="299"/>
      <c r="H135" s="300"/>
      <c r="I135" s="301"/>
      <c r="J135" s="250"/>
      <c r="K135" s="250"/>
      <c r="L135" s="138" t="s">
        <v>329</v>
      </c>
      <c r="M135" s="128"/>
      <c r="N135" s="138" t="s">
        <v>329</v>
      </c>
      <c r="O135" s="128"/>
      <c r="P135" s="138" t="s">
        <v>329</v>
      </c>
      <c r="Q135" s="128"/>
      <c r="R135" s="138" t="s">
        <v>329</v>
      </c>
      <c r="S135" s="128"/>
      <c r="T135" s="250"/>
    </row>
    <row r="136" spans="1:20" ht="82.75" customHeight="1" x14ac:dyDescent="0.2">
      <c r="A136" s="304"/>
      <c r="B136" s="250" t="s">
        <v>3</v>
      </c>
      <c r="C136" s="250" t="s">
        <v>3</v>
      </c>
      <c r="D136" s="250" t="s">
        <v>3</v>
      </c>
      <c r="E136" s="305" t="s">
        <v>3</v>
      </c>
      <c r="F136" s="291" t="s">
        <v>3</v>
      </c>
      <c r="G136" s="299" t="s">
        <v>19</v>
      </c>
      <c r="H136" s="303" t="s">
        <v>159</v>
      </c>
      <c r="I136" s="301" t="s">
        <v>263</v>
      </c>
      <c r="J136" s="250"/>
      <c r="K136" s="2" t="s">
        <v>210</v>
      </c>
      <c r="L136" s="165"/>
      <c r="M136" s="165"/>
      <c r="N136" s="165"/>
      <c r="O136" s="165"/>
      <c r="P136" s="165"/>
      <c r="Q136" s="165"/>
      <c r="R136" s="165"/>
      <c r="S136" s="165"/>
      <c r="T136" s="250" t="s">
        <v>417</v>
      </c>
    </row>
    <row r="137" spans="1:20" ht="32" x14ac:dyDescent="0.2">
      <c r="A137" s="304"/>
      <c r="B137" s="250"/>
      <c r="C137" s="250"/>
      <c r="D137" s="250"/>
      <c r="E137" s="305"/>
      <c r="F137" s="291"/>
      <c r="G137" s="299"/>
      <c r="H137" s="303"/>
      <c r="I137" s="301"/>
      <c r="J137" s="250"/>
      <c r="K137" s="2" t="s">
        <v>211</v>
      </c>
      <c r="L137" s="165"/>
      <c r="M137" s="165"/>
      <c r="N137" s="165"/>
      <c r="O137" s="165"/>
      <c r="P137" s="165"/>
      <c r="Q137" s="165"/>
      <c r="R137" s="165"/>
      <c r="S137" s="165"/>
      <c r="T137" s="250"/>
    </row>
    <row r="138" spans="1:20" ht="16" x14ac:dyDescent="0.2">
      <c r="A138" s="304"/>
      <c r="B138" s="250"/>
      <c r="C138" s="250"/>
      <c r="D138" s="250"/>
      <c r="E138" s="305"/>
      <c r="F138" s="130"/>
      <c r="G138" s="299"/>
      <c r="H138" s="303"/>
      <c r="I138" s="301"/>
      <c r="J138" s="250"/>
      <c r="K138" s="250" t="s">
        <v>265</v>
      </c>
      <c r="L138" s="128" t="s">
        <v>330</v>
      </c>
      <c r="M138" s="128"/>
      <c r="N138" s="128" t="s">
        <v>330</v>
      </c>
      <c r="O138" s="128"/>
      <c r="P138" s="128" t="s">
        <v>330</v>
      </c>
      <c r="Q138" s="128"/>
      <c r="R138" s="128" t="s">
        <v>330</v>
      </c>
      <c r="S138" s="128"/>
      <c r="T138" s="250"/>
    </row>
    <row r="139" spans="1:20" ht="48" x14ac:dyDescent="0.2">
      <c r="A139" s="304"/>
      <c r="B139" s="250"/>
      <c r="C139" s="250"/>
      <c r="D139" s="250"/>
      <c r="E139" s="305"/>
      <c r="F139" s="130"/>
      <c r="G139" s="299"/>
      <c r="H139" s="303"/>
      <c r="I139" s="301"/>
      <c r="J139" s="250"/>
      <c r="K139" s="250"/>
      <c r="L139" s="128" t="s">
        <v>394</v>
      </c>
      <c r="M139" s="128"/>
      <c r="N139" s="128" t="s">
        <v>394</v>
      </c>
      <c r="O139" s="128"/>
      <c r="P139" s="128" t="s">
        <v>394</v>
      </c>
      <c r="Q139" s="128"/>
      <c r="R139" s="128" t="s">
        <v>394</v>
      </c>
      <c r="S139" s="128"/>
      <c r="T139" s="250"/>
    </row>
    <row r="140" spans="1:20" ht="32" x14ac:dyDescent="0.2">
      <c r="A140" s="304"/>
      <c r="B140" s="250"/>
      <c r="C140" s="250"/>
      <c r="D140" s="250"/>
      <c r="E140" s="305"/>
      <c r="F140" s="130"/>
      <c r="G140" s="299"/>
      <c r="H140" s="303"/>
      <c r="I140" s="301"/>
      <c r="J140" s="250"/>
      <c r="K140" s="250"/>
      <c r="L140" s="138" t="s">
        <v>395</v>
      </c>
      <c r="M140" s="128"/>
      <c r="N140" s="138" t="s">
        <v>395</v>
      </c>
      <c r="O140" s="128"/>
      <c r="P140" s="138" t="s">
        <v>395</v>
      </c>
      <c r="Q140" s="128"/>
      <c r="R140" s="138" t="s">
        <v>395</v>
      </c>
      <c r="S140" s="128"/>
      <c r="T140" s="250"/>
    </row>
    <row r="141" spans="1:20" ht="54.5" hidden="1" customHeight="1" x14ac:dyDescent="0.2">
      <c r="A141" s="304"/>
      <c r="B141" s="250" t="s">
        <v>3</v>
      </c>
      <c r="C141" s="250" t="s">
        <v>3</v>
      </c>
      <c r="D141" s="250" t="s">
        <v>3</v>
      </c>
      <c r="E141" s="305" t="s">
        <v>3</v>
      </c>
      <c r="F141" s="291" t="s">
        <v>3</v>
      </c>
      <c r="G141" s="299" t="s">
        <v>19</v>
      </c>
      <c r="H141" s="303" t="s">
        <v>160</v>
      </c>
      <c r="I141" s="301" t="s">
        <v>188</v>
      </c>
      <c r="J141" s="250"/>
      <c r="K141" s="2" t="s">
        <v>210</v>
      </c>
      <c r="L141" s="165"/>
      <c r="M141" s="165"/>
      <c r="N141" s="165"/>
      <c r="O141" s="165"/>
      <c r="P141" s="165"/>
      <c r="Q141" s="165"/>
      <c r="R141" s="165"/>
      <c r="S141" s="165"/>
      <c r="T141" s="250" t="s">
        <v>410</v>
      </c>
    </row>
    <row r="142" spans="1:20" ht="32" hidden="1" x14ac:dyDescent="0.2">
      <c r="A142" s="304"/>
      <c r="B142" s="250"/>
      <c r="C142" s="250"/>
      <c r="D142" s="250"/>
      <c r="E142" s="305"/>
      <c r="F142" s="291"/>
      <c r="G142" s="299"/>
      <c r="H142" s="303"/>
      <c r="I142" s="301"/>
      <c r="J142" s="250"/>
      <c r="K142" s="2" t="s">
        <v>211</v>
      </c>
      <c r="L142" s="165"/>
      <c r="M142" s="165"/>
      <c r="N142" s="165"/>
      <c r="O142" s="165"/>
      <c r="P142" s="165"/>
      <c r="Q142" s="165"/>
      <c r="R142" s="165"/>
      <c r="S142" s="165"/>
      <c r="T142" s="250"/>
    </row>
    <row r="143" spans="1:20" ht="32" hidden="1" x14ac:dyDescent="0.2">
      <c r="A143" s="304"/>
      <c r="B143" s="250"/>
      <c r="C143" s="250"/>
      <c r="D143" s="250"/>
      <c r="E143" s="305"/>
      <c r="F143" s="130"/>
      <c r="G143" s="299"/>
      <c r="H143" s="303"/>
      <c r="I143" s="301"/>
      <c r="J143" s="250"/>
      <c r="K143" s="250" t="s">
        <v>265</v>
      </c>
      <c r="L143" s="128" t="s">
        <v>445</v>
      </c>
      <c r="M143" s="128"/>
      <c r="N143" s="128" t="s">
        <v>445</v>
      </c>
      <c r="O143" s="128"/>
      <c r="P143" s="128" t="s">
        <v>445</v>
      </c>
      <c r="Q143" s="128"/>
      <c r="R143" s="128" t="s">
        <v>445</v>
      </c>
      <c r="S143" s="128"/>
      <c r="T143" s="250"/>
    </row>
    <row r="144" spans="1:20" ht="48" hidden="1" x14ac:dyDescent="0.2">
      <c r="A144" s="304"/>
      <c r="B144" s="250"/>
      <c r="C144" s="250"/>
      <c r="D144" s="250"/>
      <c r="E144" s="305"/>
      <c r="F144" s="130"/>
      <c r="G144" s="299"/>
      <c r="H144" s="303"/>
      <c r="I144" s="301"/>
      <c r="J144" s="250"/>
      <c r="K144" s="250"/>
      <c r="L144" s="128" t="s">
        <v>348</v>
      </c>
      <c r="M144" s="128"/>
      <c r="N144" s="128" t="s">
        <v>348</v>
      </c>
      <c r="O144" s="128"/>
      <c r="P144" s="128" t="s">
        <v>348</v>
      </c>
      <c r="Q144" s="128"/>
      <c r="R144" s="128" t="s">
        <v>348</v>
      </c>
      <c r="S144" s="128"/>
      <c r="T144" s="250"/>
    </row>
    <row r="145" spans="1:20" ht="50.5" customHeight="1" x14ac:dyDescent="0.2">
      <c r="A145" s="304"/>
      <c r="B145" s="250" t="s">
        <v>3</v>
      </c>
      <c r="C145" s="304"/>
      <c r="D145" s="304"/>
      <c r="E145" s="305" t="s">
        <v>3</v>
      </c>
      <c r="F145" s="291" t="s">
        <v>3</v>
      </c>
      <c r="G145" s="299" t="s">
        <v>208</v>
      </c>
      <c r="H145" s="300" t="s">
        <v>161</v>
      </c>
      <c r="I145" s="301" t="s">
        <v>189</v>
      </c>
      <c r="J145" s="250"/>
      <c r="K145" s="2" t="s">
        <v>210</v>
      </c>
      <c r="L145" s="165"/>
      <c r="M145" s="165"/>
      <c r="N145" s="287"/>
      <c r="O145" s="287"/>
      <c r="P145" s="287"/>
      <c r="Q145" s="287"/>
      <c r="R145" s="165"/>
      <c r="S145" s="165"/>
      <c r="T145" s="250" t="s">
        <v>387</v>
      </c>
    </row>
    <row r="146" spans="1:20" ht="32" x14ac:dyDescent="0.2">
      <c r="A146" s="304"/>
      <c r="B146" s="250"/>
      <c r="C146" s="304"/>
      <c r="D146" s="304"/>
      <c r="E146" s="305"/>
      <c r="F146" s="291"/>
      <c r="G146" s="299"/>
      <c r="H146" s="300"/>
      <c r="I146" s="301"/>
      <c r="J146" s="250"/>
      <c r="K146" s="2" t="s">
        <v>211</v>
      </c>
      <c r="L146" s="165"/>
      <c r="M146" s="165"/>
      <c r="N146" s="287"/>
      <c r="O146" s="287"/>
      <c r="P146" s="287"/>
      <c r="Q146" s="287"/>
      <c r="R146" s="165"/>
      <c r="S146" s="165"/>
      <c r="T146" s="250"/>
    </row>
    <row r="147" spans="1:20" ht="16" x14ac:dyDescent="0.2">
      <c r="A147" s="304"/>
      <c r="B147" s="250"/>
      <c r="C147" s="304"/>
      <c r="D147" s="304"/>
      <c r="E147" s="305"/>
      <c r="F147" s="130"/>
      <c r="G147" s="299"/>
      <c r="H147" s="300"/>
      <c r="I147" s="301"/>
      <c r="J147" s="250"/>
      <c r="K147" s="250" t="s">
        <v>265</v>
      </c>
      <c r="L147" s="128" t="s">
        <v>331</v>
      </c>
      <c r="M147" s="128"/>
      <c r="N147" s="287"/>
      <c r="O147" s="287"/>
      <c r="P147" s="287"/>
      <c r="Q147" s="287"/>
      <c r="R147" s="128" t="s">
        <v>331</v>
      </c>
      <c r="S147" s="128"/>
      <c r="T147" s="250"/>
    </row>
    <row r="148" spans="1:20" ht="32" x14ac:dyDescent="0.2">
      <c r="A148" s="304"/>
      <c r="B148" s="250"/>
      <c r="C148" s="304"/>
      <c r="D148" s="304"/>
      <c r="E148" s="305"/>
      <c r="F148" s="130"/>
      <c r="G148" s="299"/>
      <c r="H148" s="300"/>
      <c r="I148" s="301"/>
      <c r="J148" s="250"/>
      <c r="K148" s="250"/>
      <c r="L148" s="128" t="s">
        <v>442</v>
      </c>
      <c r="M148" s="128"/>
      <c r="N148" s="287"/>
      <c r="O148" s="287"/>
      <c r="P148" s="287"/>
      <c r="Q148" s="287"/>
      <c r="R148" s="128" t="s">
        <v>442</v>
      </c>
      <c r="S148" s="128"/>
      <c r="T148" s="250"/>
    </row>
    <row r="149" spans="1:20" ht="48" x14ac:dyDescent="0.2">
      <c r="A149" s="304"/>
      <c r="B149" s="250"/>
      <c r="C149" s="304"/>
      <c r="D149" s="304"/>
      <c r="E149" s="305" t="s">
        <v>3</v>
      </c>
      <c r="F149" s="291" t="s">
        <v>3</v>
      </c>
      <c r="G149" s="299" t="s">
        <v>208</v>
      </c>
      <c r="H149" s="303" t="s">
        <v>167</v>
      </c>
      <c r="I149" s="301" t="s">
        <v>190</v>
      </c>
      <c r="J149" s="250"/>
      <c r="K149" s="2" t="s">
        <v>210</v>
      </c>
      <c r="L149" s="287"/>
      <c r="M149" s="287"/>
      <c r="N149" s="287"/>
      <c r="O149" s="287"/>
      <c r="P149" s="287"/>
      <c r="Q149" s="287"/>
      <c r="R149" s="165"/>
      <c r="S149" s="165"/>
      <c r="T149" s="250" t="s">
        <v>410</v>
      </c>
    </row>
    <row r="150" spans="1:20" ht="32" x14ac:dyDescent="0.2">
      <c r="A150" s="304"/>
      <c r="B150" s="250"/>
      <c r="C150" s="304"/>
      <c r="D150" s="304"/>
      <c r="E150" s="305"/>
      <c r="F150" s="291"/>
      <c r="G150" s="299"/>
      <c r="H150" s="303"/>
      <c r="I150" s="301"/>
      <c r="J150" s="250"/>
      <c r="K150" s="2" t="s">
        <v>211</v>
      </c>
      <c r="L150" s="287"/>
      <c r="M150" s="287"/>
      <c r="N150" s="287"/>
      <c r="O150" s="287"/>
      <c r="P150" s="287"/>
      <c r="Q150" s="287"/>
      <c r="R150" s="165"/>
      <c r="S150" s="165"/>
      <c r="T150" s="250"/>
    </row>
    <row r="151" spans="1:20" ht="32" x14ac:dyDescent="0.2">
      <c r="A151" s="304"/>
      <c r="B151" s="250"/>
      <c r="C151" s="304"/>
      <c r="D151" s="304"/>
      <c r="E151" s="305"/>
      <c r="F151" s="130"/>
      <c r="G151" s="299"/>
      <c r="H151" s="303"/>
      <c r="I151" s="301"/>
      <c r="J151" s="250"/>
      <c r="K151" s="250" t="s">
        <v>265</v>
      </c>
      <c r="L151" s="287"/>
      <c r="M151" s="287"/>
      <c r="N151" s="287"/>
      <c r="O151" s="287"/>
      <c r="P151" s="287"/>
      <c r="Q151" s="287"/>
      <c r="R151" s="128" t="s">
        <v>332</v>
      </c>
      <c r="S151" s="128"/>
      <c r="T151" s="250"/>
    </row>
    <row r="152" spans="1:20" ht="32" x14ac:dyDescent="0.2">
      <c r="A152" s="304"/>
      <c r="B152" s="250"/>
      <c r="C152" s="304"/>
      <c r="D152" s="304"/>
      <c r="E152" s="305"/>
      <c r="F152" s="130"/>
      <c r="G152" s="299"/>
      <c r="H152" s="303"/>
      <c r="I152" s="301"/>
      <c r="J152" s="250"/>
      <c r="K152" s="250"/>
      <c r="L152" s="287"/>
      <c r="M152" s="287"/>
      <c r="N152" s="287"/>
      <c r="O152" s="287"/>
      <c r="P152" s="287"/>
      <c r="Q152" s="287"/>
      <c r="R152" s="128" t="s">
        <v>333</v>
      </c>
      <c r="S152" s="128"/>
      <c r="T152" s="250"/>
    </row>
    <row r="153" spans="1:20" ht="28.75" hidden="1" customHeight="1" x14ac:dyDescent="0.2">
      <c r="A153" s="304"/>
      <c r="B153" s="250" t="s">
        <v>3</v>
      </c>
      <c r="C153" s="250" t="s">
        <v>3</v>
      </c>
      <c r="D153" s="250" t="s">
        <v>3</v>
      </c>
      <c r="E153" s="305" t="s">
        <v>3</v>
      </c>
      <c r="F153" s="291"/>
      <c r="G153" s="299" t="s">
        <v>20</v>
      </c>
      <c r="H153" s="300" t="s">
        <v>60</v>
      </c>
      <c r="I153" s="301" t="s">
        <v>264</v>
      </c>
      <c r="J153" s="250"/>
      <c r="K153" s="2" t="s">
        <v>210</v>
      </c>
      <c r="L153" s="165"/>
      <c r="M153" s="165"/>
      <c r="N153" s="165"/>
      <c r="O153" s="165"/>
      <c r="P153" s="165"/>
      <c r="Q153" s="165"/>
      <c r="R153" s="165"/>
      <c r="S153" s="165"/>
      <c r="T153" s="250" t="s">
        <v>402</v>
      </c>
    </row>
    <row r="154" spans="1:20" ht="48" hidden="1" x14ac:dyDescent="0.2">
      <c r="A154" s="304"/>
      <c r="B154" s="250"/>
      <c r="C154" s="250"/>
      <c r="D154" s="250"/>
      <c r="E154" s="305"/>
      <c r="F154" s="291"/>
      <c r="G154" s="299"/>
      <c r="H154" s="300"/>
      <c r="I154" s="301"/>
      <c r="J154" s="250"/>
      <c r="K154" s="2" t="s">
        <v>217</v>
      </c>
      <c r="L154" s="165"/>
      <c r="M154" s="165"/>
      <c r="N154" s="165"/>
      <c r="O154" s="165"/>
      <c r="P154" s="165"/>
      <c r="Q154" s="165"/>
      <c r="R154" s="165"/>
      <c r="S154" s="165"/>
      <c r="T154" s="250"/>
    </row>
    <row r="155" spans="1:20" ht="48" hidden="1" x14ac:dyDescent="0.2">
      <c r="A155" s="304"/>
      <c r="B155" s="250"/>
      <c r="C155" s="250"/>
      <c r="D155" s="250"/>
      <c r="E155" s="305"/>
      <c r="F155" s="291"/>
      <c r="G155" s="299"/>
      <c r="H155" s="300"/>
      <c r="I155" s="301"/>
      <c r="J155" s="250"/>
      <c r="K155" s="2" t="s">
        <v>218</v>
      </c>
      <c r="L155" s="165"/>
      <c r="M155" s="165"/>
      <c r="N155" s="165"/>
      <c r="O155" s="165"/>
      <c r="P155" s="165"/>
      <c r="Q155" s="165"/>
      <c r="R155" s="165"/>
      <c r="S155" s="165"/>
      <c r="T155" s="250"/>
    </row>
    <row r="156" spans="1:20" ht="48" hidden="1" x14ac:dyDescent="0.2">
      <c r="A156" s="304"/>
      <c r="B156" s="250"/>
      <c r="C156" s="250"/>
      <c r="D156" s="250"/>
      <c r="E156" s="305"/>
      <c r="F156" s="291"/>
      <c r="G156" s="299"/>
      <c r="H156" s="300"/>
      <c r="I156" s="301"/>
      <c r="J156" s="250"/>
      <c r="K156" s="2" t="s">
        <v>219</v>
      </c>
      <c r="L156" s="165"/>
      <c r="M156" s="165"/>
      <c r="N156" s="165"/>
      <c r="O156" s="165"/>
      <c r="P156" s="165"/>
      <c r="Q156" s="165"/>
      <c r="R156" s="165"/>
      <c r="S156" s="165"/>
      <c r="T156" s="250"/>
    </row>
    <row r="157" spans="1:20" ht="48" hidden="1" x14ac:dyDescent="0.2">
      <c r="A157" s="304"/>
      <c r="B157" s="250"/>
      <c r="C157" s="250"/>
      <c r="D157" s="250"/>
      <c r="E157" s="305"/>
      <c r="F157" s="291"/>
      <c r="G157" s="299"/>
      <c r="H157" s="300"/>
      <c r="I157" s="301"/>
      <c r="J157" s="250"/>
      <c r="K157" s="2" t="s">
        <v>220</v>
      </c>
      <c r="L157" s="165"/>
      <c r="M157" s="165"/>
      <c r="N157" s="165"/>
      <c r="O157" s="165"/>
      <c r="P157" s="165"/>
      <c r="Q157" s="165"/>
      <c r="R157" s="165"/>
      <c r="S157" s="165"/>
      <c r="T157" s="250"/>
    </row>
    <row r="158" spans="1:20" ht="16" hidden="1" x14ac:dyDescent="0.2">
      <c r="A158" s="304"/>
      <c r="B158" s="250"/>
      <c r="C158" s="250"/>
      <c r="D158" s="250"/>
      <c r="E158" s="305"/>
      <c r="F158" s="130"/>
      <c r="G158" s="299"/>
      <c r="H158" s="300"/>
      <c r="I158" s="301"/>
      <c r="J158" s="250"/>
      <c r="K158" s="250" t="s">
        <v>265</v>
      </c>
      <c r="L158" s="128" t="s">
        <v>334</v>
      </c>
      <c r="M158" s="128"/>
      <c r="N158" s="128" t="s">
        <v>334</v>
      </c>
      <c r="O158" s="128"/>
      <c r="P158" s="128" t="s">
        <v>334</v>
      </c>
      <c r="Q158" s="128"/>
      <c r="R158" s="128" t="s">
        <v>334</v>
      </c>
      <c r="S158" s="128"/>
      <c r="T158" s="250"/>
    </row>
    <row r="159" spans="1:20" ht="16" hidden="1" x14ac:dyDescent="0.2">
      <c r="A159" s="304"/>
      <c r="B159" s="250"/>
      <c r="C159" s="250"/>
      <c r="D159" s="250"/>
      <c r="E159" s="305"/>
      <c r="F159" s="130"/>
      <c r="G159" s="299"/>
      <c r="H159" s="300"/>
      <c r="I159" s="301"/>
      <c r="J159" s="250"/>
      <c r="K159" s="250"/>
      <c r="L159" s="128" t="s">
        <v>335</v>
      </c>
      <c r="M159" s="128"/>
      <c r="N159" s="128" t="s">
        <v>335</v>
      </c>
      <c r="O159" s="128"/>
      <c r="P159" s="128" t="s">
        <v>335</v>
      </c>
      <c r="Q159" s="128"/>
      <c r="R159" s="128" t="s">
        <v>335</v>
      </c>
      <c r="S159" s="128"/>
      <c r="T159" s="250"/>
    </row>
    <row r="160" spans="1:20" ht="16" hidden="1" x14ac:dyDescent="0.2">
      <c r="A160" s="304"/>
      <c r="B160" s="250"/>
      <c r="C160" s="250"/>
      <c r="D160" s="250"/>
      <c r="E160" s="305"/>
      <c r="F160" s="130"/>
      <c r="G160" s="299"/>
      <c r="H160" s="300"/>
      <c r="I160" s="301"/>
      <c r="J160" s="250"/>
      <c r="K160" s="250"/>
      <c r="L160" s="128" t="s">
        <v>336</v>
      </c>
      <c r="M160" s="128"/>
      <c r="N160" s="128" t="s">
        <v>336</v>
      </c>
      <c r="O160" s="128"/>
      <c r="P160" s="128" t="s">
        <v>336</v>
      </c>
      <c r="Q160" s="128"/>
      <c r="R160" s="128" t="s">
        <v>336</v>
      </c>
      <c r="S160" s="128"/>
      <c r="T160" s="250"/>
    </row>
    <row r="161" spans="1:20" ht="48" hidden="1" customHeight="1" x14ac:dyDescent="0.2">
      <c r="A161" s="304"/>
      <c r="B161" s="250" t="s">
        <v>3</v>
      </c>
      <c r="C161" s="250" t="s">
        <v>3</v>
      </c>
      <c r="D161" s="250" t="s">
        <v>3</v>
      </c>
      <c r="E161" s="305" t="s">
        <v>3</v>
      </c>
      <c r="F161" s="291"/>
      <c r="G161" s="299" t="s">
        <v>20</v>
      </c>
      <c r="H161" s="303" t="s">
        <v>162</v>
      </c>
      <c r="I161" s="301" t="s">
        <v>191</v>
      </c>
      <c r="J161" s="250"/>
      <c r="K161" s="2" t="s">
        <v>210</v>
      </c>
      <c r="L161" s="165"/>
      <c r="M161" s="165"/>
      <c r="N161" s="165"/>
      <c r="O161" s="165"/>
      <c r="P161" s="165"/>
      <c r="Q161" s="165"/>
      <c r="R161" s="165"/>
      <c r="S161" s="165"/>
      <c r="T161" s="250" t="s">
        <v>410</v>
      </c>
    </row>
    <row r="162" spans="1:20" ht="32" hidden="1" x14ac:dyDescent="0.2">
      <c r="A162" s="304"/>
      <c r="B162" s="250"/>
      <c r="C162" s="250"/>
      <c r="D162" s="250"/>
      <c r="E162" s="305"/>
      <c r="F162" s="291"/>
      <c r="G162" s="299"/>
      <c r="H162" s="303"/>
      <c r="I162" s="301"/>
      <c r="J162" s="250"/>
      <c r="K162" s="2" t="s">
        <v>211</v>
      </c>
      <c r="L162" s="165"/>
      <c r="M162" s="165"/>
      <c r="N162" s="165"/>
      <c r="O162" s="165"/>
      <c r="P162" s="165"/>
      <c r="Q162" s="165"/>
      <c r="R162" s="165"/>
      <c r="S162" s="165"/>
      <c r="T162" s="250"/>
    </row>
    <row r="163" spans="1:20" ht="32" hidden="1" x14ac:dyDescent="0.2">
      <c r="A163" s="304"/>
      <c r="B163" s="250"/>
      <c r="C163" s="250"/>
      <c r="D163" s="250"/>
      <c r="E163" s="305"/>
      <c r="F163" s="130"/>
      <c r="G163" s="299"/>
      <c r="H163" s="303"/>
      <c r="I163" s="301"/>
      <c r="J163" s="250"/>
      <c r="K163" s="2" t="s">
        <v>265</v>
      </c>
      <c r="L163" s="128" t="s">
        <v>375</v>
      </c>
      <c r="M163" s="128"/>
      <c r="N163" s="128" t="s">
        <v>375</v>
      </c>
      <c r="O163" s="128"/>
      <c r="P163" s="128" t="s">
        <v>375</v>
      </c>
      <c r="Q163" s="128"/>
      <c r="R163" s="128" t="s">
        <v>375</v>
      </c>
      <c r="S163" s="128"/>
      <c r="T163" s="250"/>
    </row>
    <row r="164" spans="1:20" ht="48" customHeight="1" x14ac:dyDescent="0.2">
      <c r="A164" s="304"/>
      <c r="B164" s="250" t="s">
        <v>3</v>
      </c>
      <c r="C164" s="250" t="s">
        <v>3</v>
      </c>
      <c r="D164" s="250" t="s">
        <v>3</v>
      </c>
      <c r="E164" s="305" t="s">
        <v>3</v>
      </c>
      <c r="F164" s="291" t="s">
        <v>3</v>
      </c>
      <c r="G164" s="299" t="s">
        <v>20</v>
      </c>
      <c r="H164" s="303" t="s">
        <v>163</v>
      </c>
      <c r="I164" s="301" t="s">
        <v>192</v>
      </c>
      <c r="J164" s="250"/>
      <c r="K164" s="2" t="s">
        <v>210</v>
      </c>
      <c r="L164" s="165"/>
      <c r="M164" s="165"/>
      <c r="N164" s="165"/>
      <c r="O164" s="165"/>
      <c r="P164" s="165"/>
      <c r="Q164" s="165"/>
      <c r="R164" s="165"/>
      <c r="S164" s="165"/>
      <c r="T164" s="250" t="s">
        <v>415</v>
      </c>
    </row>
    <row r="165" spans="1:20" ht="32" x14ac:dyDescent="0.2">
      <c r="A165" s="304"/>
      <c r="B165" s="250"/>
      <c r="C165" s="250"/>
      <c r="D165" s="250"/>
      <c r="E165" s="305"/>
      <c r="F165" s="291"/>
      <c r="G165" s="299"/>
      <c r="H165" s="303"/>
      <c r="I165" s="301"/>
      <c r="J165" s="250"/>
      <c r="K165" s="2" t="s">
        <v>211</v>
      </c>
      <c r="L165" s="165"/>
      <c r="M165" s="165"/>
      <c r="N165" s="165"/>
      <c r="O165" s="165"/>
      <c r="P165" s="165"/>
      <c r="Q165" s="165"/>
      <c r="R165" s="165"/>
      <c r="S165" s="165"/>
      <c r="T165" s="250"/>
    </row>
    <row r="166" spans="1:20" ht="32" x14ac:dyDescent="0.2">
      <c r="A166" s="304"/>
      <c r="B166" s="250"/>
      <c r="C166" s="250"/>
      <c r="D166" s="250"/>
      <c r="E166" s="305"/>
      <c r="F166" s="130"/>
      <c r="G166" s="299"/>
      <c r="H166" s="303"/>
      <c r="I166" s="301"/>
      <c r="J166" s="250"/>
      <c r="K166" s="2" t="s">
        <v>265</v>
      </c>
      <c r="L166" s="128" t="s">
        <v>337</v>
      </c>
      <c r="M166" s="128"/>
      <c r="N166" s="128" t="s">
        <v>337</v>
      </c>
      <c r="O166" s="128"/>
      <c r="P166" s="128" t="s">
        <v>337</v>
      </c>
      <c r="Q166" s="128"/>
      <c r="R166" s="128" t="s">
        <v>337</v>
      </c>
      <c r="S166" s="128"/>
      <c r="T166" s="250"/>
    </row>
    <row r="167" spans="1:20" ht="43.25" customHeight="1" x14ac:dyDescent="0.2">
      <c r="A167" s="304"/>
      <c r="B167" s="309" t="s">
        <v>3</v>
      </c>
      <c r="C167" s="309" t="s">
        <v>3</v>
      </c>
      <c r="D167" s="309" t="s">
        <v>3</v>
      </c>
      <c r="E167" s="291" t="s">
        <v>3</v>
      </c>
      <c r="F167" s="291" t="s">
        <v>3</v>
      </c>
      <c r="G167" s="311" t="s">
        <v>235</v>
      </c>
      <c r="H167" s="311" t="s">
        <v>175</v>
      </c>
      <c r="I167" s="310"/>
      <c r="J167" s="250"/>
      <c r="K167" s="2" t="s">
        <v>210</v>
      </c>
      <c r="L167" s="165"/>
      <c r="M167" s="165"/>
      <c r="N167" s="165"/>
      <c r="O167" s="165"/>
      <c r="P167" s="165"/>
      <c r="Q167" s="165"/>
      <c r="R167" s="165"/>
      <c r="S167" s="165"/>
      <c r="T167" s="250"/>
    </row>
    <row r="168" spans="1:20" ht="51.5" customHeight="1" x14ac:dyDescent="0.2">
      <c r="A168" s="304"/>
      <c r="B168" s="309"/>
      <c r="C168" s="309"/>
      <c r="D168" s="309"/>
      <c r="E168" s="291"/>
      <c r="F168" s="291"/>
      <c r="G168" s="311"/>
      <c r="H168" s="311"/>
      <c r="I168" s="310"/>
      <c r="J168" s="250"/>
      <c r="K168" s="2" t="s">
        <v>211</v>
      </c>
      <c r="L168" s="165"/>
      <c r="M168" s="165"/>
      <c r="N168" s="165"/>
      <c r="O168" s="165"/>
      <c r="P168" s="165"/>
      <c r="Q168" s="165"/>
      <c r="R168" s="165"/>
      <c r="S168" s="165"/>
      <c r="T168" s="250"/>
    </row>
    <row r="169" spans="1:20" ht="24.5" customHeight="1" x14ac:dyDescent="0.2">
      <c r="A169" s="304"/>
      <c r="B169" s="309"/>
      <c r="C169" s="309"/>
      <c r="D169" s="309"/>
      <c r="E169" s="291"/>
      <c r="F169" s="130"/>
      <c r="G169" s="311"/>
      <c r="H169" s="311"/>
      <c r="I169" s="310"/>
      <c r="J169" s="250"/>
      <c r="K169" s="2" t="s">
        <v>265</v>
      </c>
      <c r="L169" s="128" t="s">
        <v>338</v>
      </c>
      <c r="M169" s="128"/>
      <c r="N169" s="128" t="s">
        <v>338</v>
      </c>
      <c r="O169" s="128"/>
      <c r="P169" s="128" t="s">
        <v>338</v>
      </c>
      <c r="Q169" s="128"/>
      <c r="R169" s="128" t="s">
        <v>338</v>
      </c>
      <c r="S169" s="128"/>
      <c r="T169" s="250"/>
    </row>
    <row r="170" spans="1:20" ht="73.75" customHeight="1" x14ac:dyDescent="0.2">
      <c r="A170" s="304"/>
      <c r="B170" s="304" t="s">
        <v>3</v>
      </c>
      <c r="C170" s="304" t="s">
        <v>3</v>
      </c>
      <c r="D170" s="304" t="s">
        <v>3</v>
      </c>
      <c r="E170" s="290" t="s">
        <v>3</v>
      </c>
      <c r="F170" s="290" t="s">
        <v>3</v>
      </c>
      <c r="G170" s="311" t="s">
        <v>246</v>
      </c>
      <c r="H170" s="311" t="s">
        <v>249</v>
      </c>
      <c r="I170" s="310"/>
      <c r="J170" s="250"/>
      <c r="K170" s="2" t="s">
        <v>210</v>
      </c>
      <c r="L170" s="165"/>
      <c r="M170" s="165"/>
      <c r="N170" s="165"/>
      <c r="O170" s="165"/>
      <c r="P170" s="165"/>
      <c r="Q170" s="165"/>
      <c r="R170" s="165"/>
      <c r="S170" s="165"/>
      <c r="T170" s="250"/>
    </row>
    <row r="171" spans="1:20" ht="76.25" customHeight="1" x14ac:dyDescent="0.2">
      <c r="A171" s="304"/>
      <c r="B171" s="304"/>
      <c r="C171" s="304"/>
      <c r="D171" s="304"/>
      <c r="E171" s="290"/>
      <c r="F171" s="290"/>
      <c r="G171" s="311"/>
      <c r="H171" s="311"/>
      <c r="I171" s="310"/>
      <c r="J171" s="250"/>
      <c r="K171" s="2" t="s">
        <v>211</v>
      </c>
      <c r="L171" s="165"/>
      <c r="M171" s="165"/>
      <c r="N171" s="165"/>
      <c r="O171" s="165"/>
      <c r="P171" s="165"/>
      <c r="Q171" s="165"/>
      <c r="R171" s="165"/>
      <c r="S171" s="165"/>
      <c r="T171" s="250"/>
    </row>
    <row r="172" spans="1:20" ht="32" x14ac:dyDescent="0.2">
      <c r="A172" s="304"/>
      <c r="B172" s="304"/>
      <c r="C172" s="304"/>
      <c r="D172" s="304"/>
      <c r="E172" s="290"/>
      <c r="F172" s="134"/>
      <c r="G172" s="311"/>
      <c r="H172" s="311"/>
      <c r="I172" s="310"/>
      <c r="J172" s="250"/>
      <c r="K172" s="250" t="s">
        <v>265</v>
      </c>
      <c r="L172" s="128" t="s">
        <v>376</v>
      </c>
      <c r="M172" s="128"/>
      <c r="N172" s="128" t="s">
        <v>376</v>
      </c>
      <c r="O172" s="128"/>
      <c r="P172" s="128" t="s">
        <v>376</v>
      </c>
      <c r="Q172" s="128"/>
      <c r="R172" s="128" t="s">
        <v>376</v>
      </c>
      <c r="S172" s="128"/>
      <c r="T172" s="250"/>
    </row>
    <row r="173" spans="1:20" ht="32" x14ac:dyDescent="0.2">
      <c r="A173" s="304"/>
      <c r="B173" s="304"/>
      <c r="C173" s="304"/>
      <c r="D173" s="304"/>
      <c r="E173" s="290"/>
      <c r="F173" s="134"/>
      <c r="G173" s="311"/>
      <c r="H173" s="311"/>
      <c r="I173" s="310"/>
      <c r="J173" s="250"/>
      <c r="K173" s="250"/>
      <c r="L173" s="128" t="s">
        <v>377</v>
      </c>
      <c r="M173" s="128"/>
      <c r="N173" s="128" t="s">
        <v>377</v>
      </c>
      <c r="O173" s="128"/>
      <c r="P173" s="128" t="s">
        <v>377</v>
      </c>
      <c r="Q173" s="128"/>
      <c r="R173" s="128" t="s">
        <v>377</v>
      </c>
      <c r="S173" s="128"/>
      <c r="T173" s="250"/>
    </row>
    <row r="174" spans="1:20" ht="16" x14ac:dyDescent="0.2">
      <c r="A174" s="304"/>
      <c r="B174" s="304"/>
      <c r="C174" s="304"/>
      <c r="D174" s="304"/>
      <c r="E174" s="290"/>
      <c r="F174" s="134"/>
      <c r="G174" s="311"/>
      <c r="H174" s="311"/>
      <c r="I174" s="310"/>
      <c r="J174" s="250"/>
      <c r="K174" s="250"/>
      <c r="L174" s="128" t="s">
        <v>378</v>
      </c>
      <c r="M174" s="128"/>
      <c r="N174" s="128" t="s">
        <v>378</v>
      </c>
      <c r="O174" s="128"/>
      <c r="P174" s="128" t="s">
        <v>378</v>
      </c>
      <c r="Q174" s="128"/>
      <c r="R174" s="128" t="s">
        <v>378</v>
      </c>
      <c r="S174" s="128"/>
      <c r="T174" s="250"/>
    </row>
    <row r="175" spans="1:20" ht="32" x14ac:dyDescent="0.2">
      <c r="A175" s="304"/>
      <c r="B175" s="304"/>
      <c r="C175" s="304"/>
      <c r="D175" s="304"/>
      <c r="E175" s="290"/>
      <c r="F175" s="134"/>
      <c r="G175" s="311"/>
      <c r="H175" s="311"/>
      <c r="I175" s="310"/>
      <c r="J175" s="250"/>
      <c r="K175" s="250"/>
      <c r="L175" s="128" t="s">
        <v>379</v>
      </c>
      <c r="M175" s="128"/>
      <c r="N175" s="128" t="s">
        <v>379</v>
      </c>
      <c r="O175" s="128"/>
      <c r="P175" s="128" t="s">
        <v>379</v>
      </c>
      <c r="Q175" s="128"/>
      <c r="R175" s="128" t="s">
        <v>379</v>
      </c>
      <c r="S175" s="128"/>
      <c r="T175" s="250"/>
    </row>
    <row r="176" spans="1:20" ht="32" x14ac:dyDescent="0.2">
      <c r="A176" s="304"/>
      <c r="B176" s="304"/>
      <c r="C176" s="304"/>
      <c r="D176" s="304"/>
      <c r="E176" s="290"/>
      <c r="F176" s="134"/>
      <c r="G176" s="311"/>
      <c r="H176" s="311"/>
      <c r="I176" s="310"/>
      <c r="J176" s="250"/>
      <c r="K176" s="250"/>
      <c r="L176" s="128" t="s">
        <v>380</v>
      </c>
      <c r="M176" s="128"/>
      <c r="N176" s="128" t="s">
        <v>380</v>
      </c>
      <c r="O176" s="128"/>
      <c r="P176" s="128" t="s">
        <v>380</v>
      </c>
      <c r="Q176" s="128"/>
      <c r="R176" s="128" t="s">
        <v>380</v>
      </c>
      <c r="S176" s="128"/>
      <c r="T176" s="250"/>
    </row>
    <row r="177" spans="1:19" ht="37.75" hidden="1" customHeight="1" x14ac:dyDescent="0.2">
      <c r="A177" s="136"/>
      <c r="B177" s="312" t="s">
        <v>433</v>
      </c>
      <c r="C177" s="312"/>
      <c r="D177" s="312"/>
      <c r="E177" s="312"/>
      <c r="F177" s="312"/>
      <c r="G177" s="312"/>
      <c r="H177" s="312"/>
      <c r="I177" s="108"/>
      <c r="J177" s="107"/>
      <c r="K177" s="110"/>
      <c r="L177" s="288"/>
      <c r="M177" s="289"/>
      <c r="N177" s="288"/>
      <c r="O177" s="289"/>
      <c r="P177" s="288"/>
      <c r="Q177" s="289"/>
      <c r="R177" s="288"/>
      <c r="S177" s="289"/>
    </row>
    <row r="178" spans="1:19" ht="28.75" hidden="1" customHeight="1" x14ac:dyDescent="0.2">
      <c r="A178" s="120"/>
      <c r="B178" s="299" t="s">
        <v>426</v>
      </c>
      <c r="C178" s="299"/>
      <c r="D178" s="299"/>
      <c r="E178" s="299"/>
      <c r="F178" s="299"/>
      <c r="G178" s="299"/>
      <c r="H178" s="299"/>
      <c r="I178" s="109"/>
      <c r="J178" s="2"/>
      <c r="K178" s="111"/>
      <c r="L178" s="285"/>
      <c r="M178" s="286"/>
      <c r="N178" s="285"/>
      <c r="O178" s="286"/>
      <c r="P178" s="285"/>
      <c r="Q178" s="286"/>
      <c r="R178" s="285"/>
      <c r="S178" s="286"/>
    </row>
    <row r="179" spans="1:19" ht="43.25" hidden="1" customHeight="1" x14ac:dyDescent="0.2">
      <c r="A179" s="120"/>
      <c r="B179" s="299" t="s">
        <v>427</v>
      </c>
      <c r="C179" s="299"/>
      <c r="D179" s="299"/>
      <c r="E179" s="299"/>
      <c r="F179" s="299"/>
      <c r="G179" s="299"/>
      <c r="H179" s="299"/>
      <c r="I179" s="109"/>
      <c r="J179" s="2"/>
      <c r="K179" s="111"/>
      <c r="L179" s="285"/>
      <c r="M179" s="286"/>
      <c r="N179" s="285"/>
      <c r="O179" s="286"/>
      <c r="P179" s="285"/>
      <c r="Q179" s="286"/>
      <c r="R179" s="285"/>
      <c r="S179" s="286"/>
    </row>
    <row r="180" spans="1:19" ht="28.75" hidden="1" customHeight="1" x14ac:dyDescent="0.2">
      <c r="A180" s="120"/>
      <c r="B180" s="299" t="s">
        <v>428</v>
      </c>
      <c r="C180" s="299"/>
      <c r="D180" s="299"/>
      <c r="E180" s="299"/>
      <c r="F180" s="299"/>
      <c r="G180" s="299"/>
      <c r="H180" s="299"/>
      <c r="I180" s="109"/>
      <c r="J180" s="2"/>
      <c r="K180" s="111"/>
      <c r="L180" s="285"/>
      <c r="M180" s="286"/>
      <c r="N180" s="285"/>
      <c r="O180" s="286"/>
      <c r="P180" s="285"/>
      <c r="Q180" s="286"/>
      <c r="R180" s="285"/>
      <c r="S180" s="286"/>
    </row>
    <row r="181" spans="1:19" ht="42.5" hidden="1" customHeight="1" x14ac:dyDescent="0.2">
      <c r="A181" s="120"/>
      <c r="B181" s="299" t="s">
        <v>429</v>
      </c>
      <c r="C181" s="299"/>
      <c r="D181" s="299"/>
      <c r="E181" s="299"/>
      <c r="F181" s="299"/>
      <c r="G181" s="299"/>
      <c r="H181" s="299"/>
      <c r="I181" s="109"/>
      <c r="J181" s="2"/>
      <c r="K181" s="111"/>
      <c r="L181" s="285"/>
      <c r="M181" s="286"/>
      <c r="N181" s="285"/>
      <c r="O181" s="286"/>
      <c r="P181" s="285"/>
      <c r="Q181" s="286"/>
      <c r="R181" s="285"/>
      <c r="S181" s="286"/>
    </row>
    <row r="182" spans="1:19" ht="45" hidden="1" customHeight="1" x14ac:dyDescent="0.2">
      <c r="A182" s="120"/>
      <c r="B182" s="299" t="s">
        <v>430</v>
      </c>
      <c r="C182" s="299"/>
      <c r="D182" s="299"/>
      <c r="E182" s="299"/>
      <c r="F182" s="299"/>
      <c r="G182" s="299"/>
      <c r="H182" s="299"/>
      <c r="I182" s="109"/>
      <c r="J182" s="2"/>
      <c r="K182" s="111"/>
      <c r="L182" s="285"/>
      <c r="M182" s="286"/>
      <c r="N182" s="285"/>
      <c r="O182" s="286"/>
      <c r="P182" s="285"/>
      <c r="Q182" s="286"/>
      <c r="R182" s="285"/>
      <c r="S182" s="286"/>
    </row>
    <row r="183" spans="1:19" ht="40.25" hidden="1" customHeight="1" x14ac:dyDescent="0.2">
      <c r="A183" s="120"/>
      <c r="B183" s="299" t="s">
        <v>431</v>
      </c>
      <c r="C183" s="299"/>
      <c r="D183" s="299"/>
      <c r="E183" s="299"/>
      <c r="F183" s="299"/>
      <c r="G183" s="299"/>
      <c r="H183" s="299"/>
      <c r="I183" s="109"/>
      <c r="J183" s="2"/>
      <c r="K183" s="111"/>
      <c r="L183" s="285"/>
      <c r="M183" s="286"/>
      <c r="N183" s="285"/>
      <c r="O183" s="286"/>
      <c r="P183" s="285"/>
      <c r="Q183" s="286"/>
      <c r="R183" s="285"/>
      <c r="S183" s="286"/>
    </row>
    <row r="184" spans="1:19" ht="28.75" hidden="1" customHeight="1" x14ac:dyDescent="0.2">
      <c r="A184" s="120"/>
      <c r="B184" s="299" t="s">
        <v>432</v>
      </c>
      <c r="C184" s="299"/>
      <c r="D184" s="299"/>
      <c r="E184" s="299"/>
      <c r="F184" s="299"/>
      <c r="G184" s="299"/>
      <c r="H184" s="299"/>
      <c r="I184" s="109"/>
      <c r="J184" s="2"/>
      <c r="K184" s="111"/>
      <c r="L184" s="285"/>
      <c r="M184" s="286"/>
      <c r="N184" s="285"/>
      <c r="O184" s="286"/>
      <c r="P184" s="285"/>
      <c r="Q184" s="286"/>
      <c r="R184" s="285"/>
      <c r="S184" s="286"/>
    </row>
    <row r="185" spans="1:19" ht="21.5" hidden="1" customHeight="1" x14ac:dyDescent="0.2">
      <c r="A185" s="120"/>
      <c r="B185" s="299" t="s">
        <v>434</v>
      </c>
      <c r="C185" s="299"/>
      <c r="D185" s="299"/>
      <c r="E185" s="299"/>
      <c r="F185" s="299"/>
      <c r="G185" s="299"/>
      <c r="H185" s="299"/>
      <c r="I185" s="109"/>
      <c r="J185" s="2"/>
      <c r="K185" s="111"/>
      <c r="L185" s="285"/>
      <c r="M185" s="286"/>
      <c r="N185" s="285"/>
      <c r="O185" s="286"/>
      <c r="P185" s="285"/>
      <c r="Q185" s="286"/>
      <c r="R185" s="285"/>
      <c r="S185" s="286"/>
    </row>
    <row r="187" spans="1:19" ht="14.5" customHeight="1" x14ac:dyDescent="0.2">
      <c r="F187" s="254" t="s">
        <v>462</v>
      </c>
      <c r="G187" s="254"/>
      <c r="H187" s="254"/>
      <c r="I187" s="254"/>
      <c r="J187" s="254"/>
      <c r="K187" s="254"/>
    </row>
    <row r="188" spans="1:19" x14ac:dyDescent="0.2">
      <c r="F188" s="254" t="s">
        <v>463</v>
      </c>
      <c r="G188" s="254"/>
      <c r="H188" s="254" t="s">
        <v>464</v>
      </c>
      <c r="I188" s="254"/>
      <c r="J188" s="254"/>
      <c r="K188" s="254"/>
    </row>
    <row r="189" spans="1:19" ht="57.5" customHeight="1" x14ac:dyDescent="0.2">
      <c r="A189" s="319" t="s">
        <v>63</v>
      </c>
      <c r="B189" s="319"/>
      <c r="C189" s="319"/>
      <c r="D189" s="319"/>
      <c r="E189" s="319"/>
      <c r="F189" s="324" t="s">
        <v>493</v>
      </c>
      <c r="G189" s="324"/>
      <c r="H189" s="324" t="s">
        <v>466</v>
      </c>
      <c r="I189" s="324"/>
      <c r="J189" s="324"/>
      <c r="K189" s="324"/>
    </row>
    <row r="190" spans="1:19" ht="140.5" customHeight="1" x14ac:dyDescent="0.2">
      <c r="A190" s="319" t="s">
        <v>64</v>
      </c>
      <c r="B190" s="319"/>
      <c r="C190" s="319"/>
      <c r="D190" s="319"/>
      <c r="E190" s="319"/>
      <c r="F190" s="324" t="s">
        <v>467</v>
      </c>
      <c r="G190" s="324"/>
      <c r="H190" s="324" t="s">
        <v>468</v>
      </c>
      <c r="I190" s="324"/>
      <c r="J190" s="324"/>
      <c r="K190" s="324"/>
    </row>
    <row r="191" spans="1:19" ht="44.5" customHeight="1" x14ac:dyDescent="0.2">
      <c r="A191" s="319" t="s">
        <v>65</v>
      </c>
      <c r="B191" s="319"/>
      <c r="C191" s="319"/>
      <c r="D191" s="319"/>
      <c r="E191" s="319"/>
      <c r="F191" s="324" t="s">
        <v>469</v>
      </c>
      <c r="G191" s="324"/>
      <c r="H191" s="324" t="s">
        <v>466</v>
      </c>
      <c r="I191" s="324"/>
      <c r="J191" s="324"/>
      <c r="K191" s="324"/>
    </row>
    <row r="192" spans="1:19" ht="85.75" customHeight="1" x14ac:dyDescent="0.2">
      <c r="A192" s="319" t="s">
        <v>494</v>
      </c>
      <c r="B192" s="319"/>
      <c r="C192" s="319"/>
      <c r="D192" s="319"/>
      <c r="E192" s="319"/>
      <c r="F192" s="324" t="s">
        <v>470</v>
      </c>
      <c r="G192" s="324"/>
      <c r="H192" s="324"/>
      <c r="I192" s="324"/>
      <c r="J192" s="324"/>
      <c r="K192" s="324"/>
    </row>
    <row r="194" spans="7:12" ht="32" x14ac:dyDescent="0.2">
      <c r="G194" s="320" t="s">
        <v>471</v>
      </c>
      <c r="H194" s="321"/>
      <c r="I194" s="151" t="s">
        <v>472</v>
      </c>
    </row>
    <row r="195" spans="7:12" ht="28.75" customHeight="1" x14ac:dyDescent="0.2">
      <c r="G195" s="322" t="s">
        <v>473</v>
      </c>
      <c r="H195" s="323"/>
      <c r="I195" s="154" t="s">
        <v>474</v>
      </c>
    </row>
    <row r="196" spans="7:12" ht="14.5" customHeight="1" x14ac:dyDescent="0.2">
      <c r="G196" s="322" t="s">
        <v>475</v>
      </c>
      <c r="H196" s="323"/>
      <c r="I196" s="155">
        <v>13</v>
      </c>
    </row>
    <row r="197" spans="7:12" ht="14.5" customHeight="1" x14ac:dyDescent="0.2">
      <c r="G197" s="322" t="s">
        <v>476</v>
      </c>
      <c r="H197" s="323"/>
      <c r="I197" s="155">
        <v>27</v>
      </c>
    </row>
    <row r="198" spans="7:12" ht="34.25" customHeight="1" x14ac:dyDescent="0.2">
      <c r="G198" s="322" t="s">
        <v>477</v>
      </c>
      <c r="H198" s="323"/>
      <c r="I198" s="155">
        <v>28</v>
      </c>
    </row>
    <row r="200" spans="7:12" x14ac:dyDescent="0.2">
      <c r="G200" s="326" t="s">
        <v>478</v>
      </c>
      <c r="H200" s="326"/>
      <c r="I200" s="326"/>
      <c r="J200" s="326"/>
      <c r="K200" s="326"/>
      <c r="L200" s="325" t="s">
        <v>479</v>
      </c>
    </row>
    <row r="201" spans="7:12" x14ac:dyDescent="0.2">
      <c r="G201" s="327" t="s">
        <v>480</v>
      </c>
      <c r="H201" s="327"/>
      <c r="I201" s="327"/>
      <c r="J201" s="327"/>
      <c r="K201" s="327"/>
      <c r="L201" s="325"/>
    </row>
    <row r="202" spans="7:12" ht="64" x14ac:dyDescent="0.2">
      <c r="G202" s="156" t="s">
        <v>488</v>
      </c>
      <c r="H202" s="325" t="s">
        <v>489</v>
      </c>
      <c r="I202" s="325" t="s">
        <v>490</v>
      </c>
      <c r="J202" s="325" t="s">
        <v>481</v>
      </c>
      <c r="K202" s="325" t="s">
        <v>491</v>
      </c>
      <c r="L202" s="325"/>
    </row>
    <row r="203" spans="7:12" ht="63.5" customHeight="1" x14ac:dyDescent="0.2">
      <c r="G203" s="157" t="s">
        <v>482</v>
      </c>
      <c r="H203" s="325"/>
      <c r="I203" s="325"/>
      <c r="J203" s="325"/>
      <c r="K203" s="325"/>
      <c r="L203" s="325"/>
    </row>
    <row r="204" spans="7:12" ht="16" x14ac:dyDescent="0.2">
      <c r="G204" s="325" t="s">
        <v>483</v>
      </c>
      <c r="H204" s="325">
        <v>5</v>
      </c>
      <c r="I204" s="325">
        <v>26</v>
      </c>
      <c r="J204" s="325">
        <v>30</v>
      </c>
      <c r="K204" s="325" t="s">
        <v>484</v>
      </c>
      <c r="L204" s="156" t="s">
        <v>485</v>
      </c>
    </row>
    <row r="205" spans="7:12" ht="16" x14ac:dyDescent="0.2">
      <c r="G205" s="325"/>
      <c r="H205" s="325"/>
      <c r="I205" s="325"/>
      <c r="J205" s="325"/>
      <c r="K205" s="325"/>
      <c r="L205" s="156" t="s">
        <v>486</v>
      </c>
    </row>
    <row r="206" spans="7:12" ht="16" x14ac:dyDescent="0.2">
      <c r="G206" s="325"/>
      <c r="H206" s="325"/>
      <c r="I206" s="325"/>
      <c r="J206" s="325"/>
      <c r="K206" s="325"/>
      <c r="L206" s="156" t="s">
        <v>487</v>
      </c>
    </row>
  </sheetData>
  <mergeCells count="846">
    <mergeCell ref="L200:L203"/>
    <mergeCell ref="G200:K200"/>
    <mergeCell ref="G201:K201"/>
    <mergeCell ref="H202:H203"/>
    <mergeCell ref="I202:I203"/>
    <mergeCell ref="J202:J203"/>
    <mergeCell ref="K202:K203"/>
    <mergeCell ref="G204:G206"/>
    <mergeCell ref="H204:H206"/>
    <mergeCell ref="I204:I206"/>
    <mergeCell ref="J204:J206"/>
    <mergeCell ref="K204:K206"/>
    <mergeCell ref="G194:H194"/>
    <mergeCell ref="G195:H195"/>
    <mergeCell ref="G196:H196"/>
    <mergeCell ref="G197:H197"/>
    <mergeCell ref="G198:H198"/>
    <mergeCell ref="F189:G189"/>
    <mergeCell ref="F188:G188"/>
    <mergeCell ref="F190:G190"/>
    <mergeCell ref="F191:G191"/>
    <mergeCell ref="H188:K188"/>
    <mergeCell ref="H189:K189"/>
    <mergeCell ref="H190:K190"/>
    <mergeCell ref="H191:K191"/>
    <mergeCell ref="F192:K192"/>
    <mergeCell ref="F187:K187"/>
    <mergeCell ref="A189:E189"/>
    <mergeCell ref="A190:E190"/>
    <mergeCell ref="A191:E191"/>
    <mergeCell ref="A192:E192"/>
    <mergeCell ref="P5:Q5"/>
    <mergeCell ref="P6:Q6"/>
    <mergeCell ref="L16:M16"/>
    <mergeCell ref="L20:M20"/>
    <mergeCell ref="L21:M21"/>
    <mergeCell ref="P21:Q21"/>
    <mergeCell ref="J164:J166"/>
    <mergeCell ref="A167:A169"/>
    <mergeCell ref="A161:A163"/>
    <mergeCell ref="B161:B163"/>
    <mergeCell ref="C161:C163"/>
    <mergeCell ref="D161:D163"/>
    <mergeCell ref="E161:E163"/>
    <mergeCell ref="G161:G163"/>
    <mergeCell ref="H161:H163"/>
    <mergeCell ref="I161:I163"/>
    <mergeCell ref="A164:A166"/>
    <mergeCell ref="B164:B166"/>
    <mergeCell ref="C164:C166"/>
    <mergeCell ref="B3:K3"/>
    <mergeCell ref="K22:K25"/>
    <mergeCell ref="K17:K19"/>
    <mergeCell ref="L4:M4"/>
    <mergeCell ref="N4:O4"/>
    <mergeCell ref="L5:M5"/>
    <mergeCell ref="N5:O5"/>
    <mergeCell ref="L6:M6"/>
    <mergeCell ref="N6:O6"/>
    <mergeCell ref="J11:J14"/>
    <mergeCell ref="G15:G19"/>
    <mergeCell ref="H15:H19"/>
    <mergeCell ref="I15:I19"/>
    <mergeCell ref="J15:J19"/>
    <mergeCell ref="G20:G25"/>
    <mergeCell ref="H20:H25"/>
    <mergeCell ref="I20:I25"/>
    <mergeCell ref="J20:J25"/>
    <mergeCell ref="N19:O19"/>
    <mergeCell ref="N17:O18"/>
    <mergeCell ref="F11:F12"/>
    <mergeCell ref="E11:E14"/>
    <mergeCell ref="G11:G14"/>
    <mergeCell ref="H11:H14"/>
    <mergeCell ref="T141:T144"/>
    <mergeCell ref="T145:T148"/>
    <mergeCell ref="T149:T152"/>
    <mergeCell ref="T153:T160"/>
    <mergeCell ref="T161:T163"/>
    <mergeCell ref="T164:T166"/>
    <mergeCell ref="J161:J163"/>
    <mergeCell ref="L141:M141"/>
    <mergeCell ref="N141:O141"/>
    <mergeCell ref="R149:S149"/>
    <mergeCell ref="R150:S150"/>
    <mergeCell ref="R153:S153"/>
    <mergeCell ref="R154:S154"/>
    <mergeCell ref="P149:Q149"/>
    <mergeCell ref="L150:M150"/>
    <mergeCell ref="N150:O150"/>
    <mergeCell ref="P150:Q150"/>
    <mergeCell ref="T76:T79"/>
    <mergeCell ref="T80:T83"/>
    <mergeCell ref="R38:S38"/>
    <mergeCell ref="L37:M37"/>
    <mergeCell ref="L38:M38"/>
    <mergeCell ref="L41:M41"/>
    <mergeCell ref="L42:M42"/>
    <mergeCell ref="R41:S41"/>
    <mergeCell ref="P25:Q25"/>
    <mergeCell ref="R42:S42"/>
    <mergeCell ref="R46:S46"/>
    <mergeCell ref="N41:O41"/>
    <mergeCell ref="N42:O42"/>
    <mergeCell ref="P41:Q41"/>
    <mergeCell ref="P42:Q42"/>
    <mergeCell ref="P45:Q45"/>
    <mergeCell ref="N45:O45"/>
    <mergeCell ref="N43:O44"/>
    <mergeCell ref="P43:Q44"/>
    <mergeCell ref="R47:S47"/>
    <mergeCell ref="P46:Q46"/>
    <mergeCell ref="P47:Q47"/>
    <mergeCell ref="N46:O46"/>
    <mergeCell ref="N47:O47"/>
    <mergeCell ref="T167:T169"/>
    <mergeCell ref="G170:G176"/>
    <mergeCell ref="H170:H176"/>
    <mergeCell ref="I170:I176"/>
    <mergeCell ref="J170:J176"/>
    <mergeCell ref="G167:G169"/>
    <mergeCell ref="H167:H169"/>
    <mergeCell ref="J167:J169"/>
    <mergeCell ref="B182:H182"/>
    <mergeCell ref="B179:H179"/>
    <mergeCell ref="B180:H180"/>
    <mergeCell ref="B177:H177"/>
    <mergeCell ref="B178:H178"/>
    <mergeCell ref="N178:O178"/>
    <mergeCell ref="P178:Q178"/>
    <mergeCell ref="L179:M179"/>
    <mergeCell ref="N179:O179"/>
    <mergeCell ref="P179:Q179"/>
    <mergeCell ref="L170:M170"/>
    <mergeCell ref="N170:O170"/>
    <mergeCell ref="P170:Q170"/>
    <mergeCell ref="L171:M171"/>
    <mergeCell ref="N171:O171"/>
    <mergeCell ref="B170:B176"/>
    <mergeCell ref="D164:D166"/>
    <mergeCell ref="E164:E166"/>
    <mergeCell ref="G164:G166"/>
    <mergeCell ref="H164:H166"/>
    <mergeCell ref="I164:I166"/>
    <mergeCell ref="B167:B169"/>
    <mergeCell ref="C167:C169"/>
    <mergeCell ref="D167:D169"/>
    <mergeCell ref="E167:E169"/>
    <mergeCell ref="I167:I169"/>
    <mergeCell ref="A153:A160"/>
    <mergeCell ref="B153:B160"/>
    <mergeCell ref="C153:C160"/>
    <mergeCell ref="D153:D160"/>
    <mergeCell ref="E153:E160"/>
    <mergeCell ref="G153:G160"/>
    <mergeCell ref="H153:H160"/>
    <mergeCell ref="I153:I160"/>
    <mergeCell ref="J153:J160"/>
    <mergeCell ref="F153:F157"/>
    <mergeCell ref="A149:A152"/>
    <mergeCell ref="B149:B152"/>
    <mergeCell ref="C149:C152"/>
    <mergeCell ref="D149:D152"/>
    <mergeCell ref="E149:E152"/>
    <mergeCell ref="G149:G152"/>
    <mergeCell ref="H149:H152"/>
    <mergeCell ref="I149:I152"/>
    <mergeCell ref="J149:J152"/>
    <mergeCell ref="F149:F150"/>
    <mergeCell ref="A145:A148"/>
    <mergeCell ref="B145:B148"/>
    <mergeCell ref="C145:C148"/>
    <mergeCell ref="D145:D148"/>
    <mergeCell ref="E145:E148"/>
    <mergeCell ref="G145:G148"/>
    <mergeCell ref="H145:H148"/>
    <mergeCell ref="I145:I148"/>
    <mergeCell ref="J145:J148"/>
    <mergeCell ref="F145:F146"/>
    <mergeCell ref="A141:A144"/>
    <mergeCell ref="B141:B144"/>
    <mergeCell ref="C141:C144"/>
    <mergeCell ref="D141:D144"/>
    <mergeCell ref="E141:E144"/>
    <mergeCell ref="H141:H144"/>
    <mergeCell ref="G141:G144"/>
    <mergeCell ref="I141:I144"/>
    <mergeCell ref="J141:J144"/>
    <mergeCell ref="F141:F142"/>
    <mergeCell ref="A136:A140"/>
    <mergeCell ref="B136:B140"/>
    <mergeCell ref="C136:C140"/>
    <mergeCell ref="D136:D140"/>
    <mergeCell ref="E136:E140"/>
    <mergeCell ref="G136:G140"/>
    <mergeCell ref="H136:H140"/>
    <mergeCell ref="I136:I140"/>
    <mergeCell ref="J136:J140"/>
    <mergeCell ref="F136:F137"/>
    <mergeCell ref="A126:A130"/>
    <mergeCell ref="G126:G130"/>
    <mergeCell ref="H126:H130"/>
    <mergeCell ref="I126:I130"/>
    <mergeCell ref="J126:J130"/>
    <mergeCell ref="A131:A135"/>
    <mergeCell ref="G131:G135"/>
    <mergeCell ref="H131:H135"/>
    <mergeCell ref="I131:I135"/>
    <mergeCell ref="J131:J135"/>
    <mergeCell ref="C131:C135"/>
    <mergeCell ref="B131:B135"/>
    <mergeCell ref="F131:F133"/>
    <mergeCell ref="F126:F128"/>
    <mergeCell ref="B126:B130"/>
    <mergeCell ref="C126:C130"/>
    <mergeCell ref="D126:D130"/>
    <mergeCell ref="E126:E130"/>
    <mergeCell ref="E131:E135"/>
    <mergeCell ref="D131:D135"/>
    <mergeCell ref="A116:A119"/>
    <mergeCell ref="G116:G119"/>
    <mergeCell ref="H116:H119"/>
    <mergeCell ref="I116:I119"/>
    <mergeCell ref="J116:J119"/>
    <mergeCell ref="A120:A125"/>
    <mergeCell ref="G120:G125"/>
    <mergeCell ref="H120:H125"/>
    <mergeCell ref="I120:I125"/>
    <mergeCell ref="J120:J125"/>
    <mergeCell ref="B120:B125"/>
    <mergeCell ref="C120:C125"/>
    <mergeCell ref="D120:D125"/>
    <mergeCell ref="E120:E125"/>
    <mergeCell ref="F120:F122"/>
    <mergeCell ref="F116:F117"/>
    <mergeCell ref="B116:B119"/>
    <mergeCell ref="C116:C119"/>
    <mergeCell ref="D116:D119"/>
    <mergeCell ref="E116:E119"/>
    <mergeCell ref="A71:A75"/>
    <mergeCell ref="B71:B75"/>
    <mergeCell ref="C71:C75"/>
    <mergeCell ref="D71:D75"/>
    <mergeCell ref="G71:G75"/>
    <mergeCell ref="H71:H75"/>
    <mergeCell ref="I71:I75"/>
    <mergeCell ref="J71:J75"/>
    <mergeCell ref="A76:A79"/>
    <mergeCell ref="B76:B79"/>
    <mergeCell ref="C76:C79"/>
    <mergeCell ref="D76:D79"/>
    <mergeCell ref="G76:G79"/>
    <mergeCell ref="H76:H79"/>
    <mergeCell ref="I76:I79"/>
    <mergeCell ref="J76:J79"/>
    <mergeCell ref="E71:E75"/>
    <mergeCell ref="E76:E79"/>
    <mergeCell ref="F71:F72"/>
    <mergeCell ref="F76:F77"/>
    <mergeCell ref="A62:A66"/>
    <mergeCell ref="G62:G66"/>
    <mergeCell ref="H62:H66"/>
    <mergeCell ref="I62:I66"/>
    <mergeCell ref="J62:J66"/>
    <mergeCell ref="A67:A70"/>
    <mergeCell ref="C67:C70"/>
    <mergeCell ref="D67:D70"/>
    <mergeCell ref="G67:G70"/>
    <mergeCell ref="H67:H70"/>
    <mergeCell ref="I67:I70"/>
    <mergeCell ref="J67:J70"/>
    <mergeCell ref="B62:B66"/>
    <mergeCell ref="B67:B70"/>
    <mergeCell ref="E67:E70"/>
    <mergeCell ref="E62:E66"/>
    <mergeCell ref="F67:F68"/>
    <mergeCell ref="F62:F63"/>
    <mergeCell ref="D62:D66"/>
    <mergeCell ref="C62:C66"/>
    <mergeCell ref="A51:A56"/>
    <mergeCell ref="G51:G56"/>
    <mergeCell ref="H51:H56"/>
    <mergeCell ref="I51:I56"/>
    <mergeCell ref="J51:J56"/>
    <mergeCell ref="A57:A61"/>
    <mergeCell ref="G57:G61"/>
    <mergeCell ref="H57:H61"/>
    <mergeCell ref="I57:I61"/>
    <mergeCell ref="J57:J61"/>
    <mergeCell ref="E51:E56"/>
    <mergeCell ref="D51:D56"/>
    <mergeCell ref="C51:C56"/>
    <mergeCell ref="B51:B56"/>
    <mergeCell ref="B57:B61"/>
    <mergeCell ref="C57:C61"/>
    <mergeCell ref="D57:D61"/>
    <mergeCell ref="E57:E61"/>
    <mergeCell ref="F57:F58"/>
    <mergeCell ref="F51:F52"/>
    <mergeCell ref="A46:A50"/>
    <mergeCell ref="G46:G50"/>
    <mergeCell ref="H46:H50"/>
    <mergeCell ref="I46:I50"/>
    <mergeCell ref="J46:J50"/>
    <mergeCell ref="F46:F47"/>
    <mergeCell ref="F41:F42"/>
    <mergeCell ref="E41:E45"/>
    <mergeCell ref="B46:B50"/>
    <mergeCell ref="G41:G45"/>
    <mergeCell ref="H41:H45"/>
    <mergeCell ref="I41:I45"/>
    <mergeCell ref="J41:J45"/>
    <mergeCell ref="B15:B19"/>
    <mergeCell ref="D15:D19"/>
    <mergeCell ref="A20:A25"/>
    <mergeCell ref="A26:A31"/>
    <mergeCell ref="A32:A36"/>
    <mergeCell ref="A37:A40"/>
    <mergeCell ref="J37:J40"/>
    <mergeCell ref="J26:J31"/>
    <mergeCell ref="J32:J36"/>
    <mergeCell ref="F26:F27"/>
    <mergeCell ref="F32:F33"/>
    <mergeCell ref="F15:F16"/>
    <mergeCell ref="F20:F21"/>
    <mergeCell ref="E15:E19"/>
    <mergeCell ref="R5:S5"/>
    <mergeCell ref="R6:S6"/>
    <mergeCell ref="L10:M10"/>
    <mergeCell ref="R10:S10"/>
    <mergeCell ref="N9:O10"/>
    <mergeCell ref="D84:D91"/>
    <mergeCell ref="E84:E91"/>
    <mergeCell ref="C80:C83"/>
    <mergeCell ref="B20:B25"/>
    <mergeCell ref="C20:C25"/>
    <mergeCell ref="D20:D25"/>
    <mergeCell ref="E20:E25"/>
    <mergeCell ref="B26:B31"/>
    <mergeCell ref="C26:C31"/>
    <mergeCell ref="D26:D31"/>
    <mergeCell ref="E26:E31"/>
    <mergeCell ref="B32:B36"/>
    <mergeCell ref="C32:C36"/>
    <mergeCell ref="D32:D36"/>
    <mergeCell ref="E32:E36"/>
    <mergeCell ref="E46:E50"/>
    <mergeCell ref="D46:D50"/>
    <mergeCell ref="C46:C50"/>
    <mergeCell ref="B41:B45"/>
    <mergeCell ref="A5:A10"/>
    <mergeCell ref="B5:B10"/>
    <mergeCell ref="C5:C10"/>
    <mergeCell ref="D5:D10"/>
    <mergeCell ref="E5:E10"/>
    <mergeCell ref="G5:G10"/>
    <mergeCell ref="H5:H10"/>
    <mergeCell ref="I5:I10"/>
    <mergeCell ref="J5:J10"/>
    <mergeCell ref="F5:F6"/>
    <mergeCell ref="I11:I14"/>
    <mergeCell ref="G26:G31"/>
    <mergeCell ref="H26:H31"/>
    <mergeCell ref="I26:I31"/>
    <mergeCell ref="G32:G36"/>
    <mergeCell ref="H32:H36"/>
    <mergeCell ref="I32:I36"/>
    <mergeCell ref="C37:C40"/>
    <mergeCell ref="D37:D40"/>
    <mergeCell ref="G37:G40"/>
    <mergeCell ref="H37:H40"/>
    <mergeCell ref="I37:I40"/>
    <mergeCell ref="F37:F38"/>
    <mergeCell ref="C15:C19"/>
    <mergeCell ref="A11:A14"/>
    <mergeCell ref="B11:B14"/>
    <mergeCell ref="C11:C14"/>
    <mergeCell ref="D11:D14"/>
    <mergeCell ref="B37:B40"/>
    <mergeCell ref="E37:E40"/>
    <mergeCell ref="C170:C176"/>
    <mergeCell ref="D170:D176"/>
    <mergeCell ref="E170:E176"/>
    <mergeCell ref="B97:B103"/>
    <mergeCell ref="E104:E110"/>
    <mergeCell ref="A111:A115"/>
    <mergeCell ref="A80:A83"/>
    <mergeCell ref="A84:A91"/>
    <mergeCell ref="E80:E83"/>
    <mergeCell ref="D80:D83"/>
    <mergeCell ref="B80:B83"/>
    <mergeCell ref="B84:B91"/>
    <mergeCell ref="C84:C91"/>
    <mergeCell ref="A170:A176"/>
    <mergeCell ref="A15:A19"/>
    <mergeCell ref="A41:A45"/>
    <mergeCell ref="C41:C45"/>
    <mergeCell ref="D41:D45"/>
    <mergeCell ref="B185:H185"/>
    <mergeCell ref="B183:H183"/>
    <mergeCell ref="B184:H184"/>
    <mergeCell ref="B181:H181"/>
    <mergeCell ref="F161:F162"/>
    <mergeCell ref="A92:A96"/>
    <mergeCell ref="A97:A103"/>
    <mergeCell ref="A104:A110"/>
    <mergeCell ref="B104:B110"/>
    <mergeCell ref="F111:F112"/>
    <mergeCell ref="C104:C110"/>
    <mergeCell ref="D104:D110"/>
    <mergeCell ref="F92:F93"/>
    <mergeCell ref="E111:E115"/>
    <mergeCell ref="D111:D115"/>
    <mergeCell ref="C111:C115"/>
    <mergeCell ref="B111:B115"/>
    <mergeCell ref="B92:B96"/>
    <mergeCell ref="C92:C96"/>
    <mergeCell ref="D92:D96"/>
    <mergeCell ref="E92:E96"/>
    <mergeCell ref="E97:E103"/>
    <mergeCell ref="D97:D103"/>
    <mergeCell ref="C97:C103"/>
    <mergeCell ref="G80:G83"/>
    <mergeCell ref="H80:H83"/>
    <mergeCell ref="I80:I83"/>
    <mergeCell ref="J80:J83"/>
    <mergeCell ref="G111:G115"/>
    <mergeCell ref="H111:H115"/>
    <mergeCell ref="I111:I115"/>
    <mergeCell ref="J111:J115"/>
    <mergeCell ref="F97:F98"/>
    <mergeCell ref="G97:G103"/>
    <mergeCell ref="H97:H103"/>
    <mergeCell ref="I97:I103"/>
    <mergeCell ref="J97:J103"/>
    <mergeCell ref="G104:G110"/>
    <mergeCell ref="H104:H110"/>
    <mergeCell ref="I104:I110"/>
    <mergeCell ref="J104:J110"/>
    <mergeCell ref="F84:F87"/>
    <mergeCell ref="F80:F81"/>
    <mergeCell ref="F104:F105"/>
    <mergeCell ref="T11:T14"/>
    <mergeCell ref="T15:T19"/>
    <mergeCell ref="T20:T25"/>
    <mergeCell ref="T26:T31"/>
    <mergeCell ref="T32:T36"/>
    <mergeCell ref="T37:T40"/>
    <mergeCell ref="N27:O27"/>
    <mergeCell ref="L26:M26"/>
    <mergeCell ref="L27:M27"/>
    <mergeCell ref="R37:S37"/>
    <mergeCell ref="P31:Q31"/>
    <mergeCell ref="N37:O37"/>
    <mergeCell ref="N38:O38"/>
    <mergeCell ref="P37:Q37"/>
    <mergeCell ref="P38:Q38"/>
    <mergeCell ref="N36:O36"/>
    <mergeCell ref="N39:O40"/>
    <mergeCell ref="P39:Q40"/>
    <mergeCell ref="N20:O20"/>
    <mergeCell ref="N21:O21"/>
    <mergeCell ref="P20:Q20"/>
    <mergeCell ref="N15:O15"/>
    <mergeCell ref="N16:O16"/>
    <mergeCell ref="L15:M15"/>
    <mergeCell ref="T5:T10"/>
    <mergeCell ref="K7:K10"/>
    <mergeCell ref="T41:T45"/>
    <mergeCell ref="T46:T50"/>
    <mergeCell ref="T51:T56"/>
    <mergeCell ref="T57:T61"/>
    <mergeCell ref="T62:T66"/>
    <mergeCell ref="T67:T70"/>
    <mergeCell ref="T71:T75"/>
    <mergeCell ref="K28:K31"/>
    <mergeCell ref="L32:M32"/>
    <mergeCell ref="N32:O32"/>
    <mergeCell ref="N33:O33"/>
    <mergeCell ref="P32:Q32"/>
    <mergeCell ref="P33:Q33"/>
    <mergeCell ref="R32:S32"/>
    <mergeCell ref="R33:S33"/>
    <mergeCell ref="R20:S20"/>
    <mergeCell ref="R21:S21"/>
    <mergeCell ref="R26:S26"/>
    <mergeCell ref="R27:S27"/>
    <mergeCell ref="P26:Q26"/>
    <mergeCell ref="P27:Q27"/>
    <mergeCell ref="N26:O26"/>
    <mergeCell ref="T84:T91"/>
    <mergeCell ref="T92:T96"/>
    <mergeCell ref="T97:T103"/>
    <mergeCell ref="T104:T110"/>
    <mergeCell ref="T111:T115"/>
    <mergeCell ref="T116:T119"/>
    <mergeCell ref="T120:T125"/>
    <mergeCell ref="T126:T130"/>
    <mergeCell ref="T131:T135"/>
    <mergeCell ref="T136:T140"/>
    <mergeCell ref="G84:G91"/>
    <mergeCell ref="H84:H91"/>
    <mergeCell ref="I84:I91"/>
    <mergeCell ref="J84:J91"/>
    <mergeCell ref="G92:G96"/>
    <mergeCell ref="H92:H96"/>
    <mergeCell ref="I92:I96"/>
    <mergeCell ref="J92:J96"/>
    <mergeCell ref="N132:O132"/>
    <mergeCell ref="P132:Q132"/>
    <mergeCell ref="L136:M136"/>
    <mergeCell ref="N136:O136"/>
    <mergeCell ref="P136:Q136"/>
    <mergeCell ref="L137:M137"/>
    <mergeCell ref="N137:O137"/>
    <mergeCell ref="P137:Q137"/>
    <mergeCell ref="P126:Q126"/>
    <mergeCell ref="L127:M127"/>
    <mergeCell ref="N127:O127"/>
    <mergeCell ref="P127:Q127"/>
    <mergeCell ref="L131:M131"/>
    <mergeCell ref="N131:O131"/>
    <mergeCell ref="P131:Q131"/>
    <mergeCell ref="F170:F171"/>
    <mergeCell ref="F167:F168"/>
    <mergeCell ref="F164:F165"/>
    <mergeCell ref="P97:Q97"/>
    <mergeCell ref="P87:Q87"/>
    <mergeCell ref="B2:S2"/>
    <mergeCell ref="K34:K36"/>
    <mergeCell ref="K39:K40"/>
    <mergeCell ref="K43:K45"/>
    <mergeCell ref="K48:K50"/>
    <mergeCell ref="R4:S4"/>
    <mergeCell ref="P4:Q4"/>
    <mergeCell ref="L11:M11"/>
    <mergeCell ref="L12:M12"/>
    <mergeCell ref="N11:O11"/>
    <mergeCell ref="N12:O12"/>
    <mergeCell ref="R11:S11"/>
    <mergeCell ref="R12:S12"/>
    <mergeCell ref="P11:Q11"/>
    <mergeCell ref="P12:Q12"/>
    <mergeCell ref="R15:S15"/>
    <mergeCell ref="R16:S16"/>
    <mergeCell ref="P15:Q15"/>
    <mergeCell ref="P16:Q16"/>
    <mergeCell ref="L33:M33"/>
    <mergeCell ref="L46:M46"/>
    <mergeCell ref="L47:M47"/>
    <mergeCell ref="L51:M51"/>
    <mergeCell ref="L52:M52"/>
    <mergeCell ref="N51:O51"/>
    <mergeCell ref="N52:O52"/>
    <mergeCell ref="P51:Q51"/>
    <mergeCell ref="P52:Q52"/>
    <mergeCell ref="R51:S51"/>
    <mergeCell ref="R52:S52"/>
    <mergeCell ref="P50:Q50"/>
    <mergeCell ref="L57:M57"/>
    <mergeCell ref="L58:M58"/>
    <mergeCell ref="N57:O57"/>
    <mergeCell ref="N58:O58"/>
    <mergeCell ref="P57:Q57"/>
    <mergeCell ref="P58:Q58"/>
    <mergeCell ref="R57:S57"/>
    <mergeCell ref="R58:S58"/>
    <mergeCell ref="N76:O76"/>
    <mergeCell ref="P76:Q76"/>
    <mergeCell ref="L77:M77"/>
    <mergeCell ref="N77:O77"/>
    <mergeCell ref="P77:Q77"/>
    <mergeCell ref="L80:M80"/>
    <mergeCell ref="N80:O80"/>
    <mergeCell ref="P80:Q80"/>
    <mergeCell ref="K59:K61"/>
    <mergeCell ref="L62:M62"/>
    <mergeCell ref="N62:O62"/>
    <mergeCell ref="P62:Q62"/>
    <mergeCell ref="L63:M63"/>
    <mergeCell ref="N63:O63"/>
    <mergeCell ref="P63:Q63"/>
    <mergeCell ref="L67:M67"/>
    <mergeCell ref="N67:O67"/>
    <mergeCell ref="P67:Q67"/>
    <mergeCell ref="K64:K66"/>
    <mergeCell ref="K69:K70"/>
    <mergeCell ref="N87:O87"/>
    <mergeCell ref="L111:M111"/>
    <mergeCell ref="N111:O111"/>
    <mergeCell ref="P111:Q111"/>
    <mergeCell ref="L112:M112"/>
    <mergeCell ref="P165:Q165"/>
    <mergeCell ref="L154:M154"/>
    <mergeCell ref="N154:O154"/>
    <mergeCell ref="P154:Q154"/>
    <mergeCell ref="L155:M155"/>
    <mergeCell ref="N155:O155"/>
    <mergeCell ref="P155:Q155"/>
    <mergeCell ref="L156:M156"/>
    <mergeCell ref="N156:O156"/>
    <mergeCell ref="P156:Q156"/>
    <mergeCell ref="P112:Q112"/>
    <mergeCell ref="L91:M91"/>
    <mergeCell ref="P91:Q91"/>
    <mergeCell ref="N117:O117"/>
    <mergeCell ref="P117:Q117"/>
    <mergeCell ref="L120:M120"/>
    <mergeCell ref="N120:O120"/>
    <mergeCell ref="P120:Q120"/>
    <mergeCell ref="L128:M128"/>
    <mergeCell ref="R87:S87"/>
    <mergeCell ref="N121:O121"/>
    <mergeCell ref="L177:M177"/>
    <mergeCell ref="L133:M133"/>
    <mergeCell ref="L167:M167"/>
    <mergeCell ref="L153:M153"/>
    <mergeCell ref="L157:M157"/>
    <mergeCell ref="L142:M142"/>
    <mergeCell ref="N133:O133"/>
    <mergeCell ref="N112:O112"/>
    <mergeCell ref="L165:M165"/>
    <mergeCell ref="N165:O165"/>
    <mergeCell ref="L149:M149"/>
    <mergeCell ref="N149:O149"/>
    <mergeCell ref="P133:Q133"/>
    <mergeCell ref="P121:Q121"/>
    <mergeCell ref="N157:O157"/>
    <mergeCell ref="P157:Q157"/>
    <mergeCell ref="N142:O142"/>
    <mergeCell ref="N177:O177"/>
    <mergeCell ref="P177:Q177"/>
    <mergeCell ref="L122:M122"/>
    <mergeCell ref="N122:O122"/>
    <mergeCell ref="P122:Q122"/>
    <mergeCell ref="N128:O128"/>
    <mergeCell ref="P128:Q128"/>
    <mergeCell ref="N168:O168"/>
    <mergeCell ref="P168:Q168"/>
    <mergeCell ref="L161:M161"/>
    <mergeCell ref="N161:O161"/>
    <mergeCell ref="P161:Q161"/>
    <mergeCell ref="L162:M162"/>
    <mergeCell ref="N162:O162"/>
    <mergeCell ref="P162:Q162"/>
    <mergeCell ref="L164:M164"/>
    <mergeCell ref="N164:O164"/>
    <mergeCell ref="P164:Q164"/>
    <mergeCell ref="P171:Q171"/>
    <mergeCell ref="K134:K135"/>
    <mergeCell ref="P142:Q142"/>
    <mergeCell ref="L145:M145"/>
    <mergeCell ref="N145:O145"/>
    <mergeCell ref="P145:Q145"/>
    <mergeCell ref="L146:M146"/>
    <mergeCell ref="N146:O146"/>
    <mergeCell ref="P146:Q146"/>
    <mergeCell ref="N147:O148"/>
    <mergeCell ref="P147:Q148"/>
    <mergeCell ref="L151:M152"/>
    <mergeCell ref="N151:O152"/>
    <mergeCell ref="P151:Q152"/>
    <mergeCell ref="N153:O153"/>
    <mergeCell ref="P153:Q153"/>
    <mergeCell ref="K138:K140"/>
    <mergeCell ref="K143:K144"/>
    <mergeCell ref="K147:K148"/>
    <mergeCell ref="K151:K152"/>
    <mergeCell ref="K158:K160"/>
    <mergeCell ref="P141:Q141"/>
    <mergeCell ref="N167:O167"/>
    <mergeCell ref="P167:Q167"/>
    <mergeCell ref="K88:K91"/>
    <mergeCell ref="K94:K96"/>
    <mergeCell ref="K82:K83"/>
    <mergeCell ref="K99:K103"/>
    <mergeCell ref="K78:K79"/>
    <mergeCell ref="K73:K75"/>
    <mergeCell ref="K113:K115"/>
    <mergeCell ref="L185:M185"/>
    <mergeCell ref="L184:M184"/>
    <mergeCell ref="L183:M183"/>
    <mergeCell ref="L180:M180"/>
    <mergeCell ref="L181:M181"/>
    <mergeCell ref="L182:M182"/>
    <mergeCell ref="L178:M178"/>
    <mergeCell ref="K129:K130"/>
    <mergeCell ref="K172:K176"/>
    <mergeCell ref="L132:M132"/>
    <mergeCell ref="L168:M168"/>
    <mergeCell ref="L117:M117"/>
    <mergeCell ref="L87:M87"/>
    <mergeCell ref="L76:M76"/>
    <mergeCell ref="L121:M121"/>
    <mergeCell ref="N185:O185"/>
    <mergeCell ref="P185:Q185"/>
    <mergeCell ref="N184:O184"/>
    <mergeCell ref="P184:Q184"/>
    <mergeCell ref="N183:O183"/>
    <mergeCell ref="P183:Q183"/>
    <mergeCell ref="N180:O180"/>
    <mergeCell ref="P180:Q180"/>
    <mergeCell ref="N181:O181"/>
    <mergeCell ref="P181:Q181"/>
    <mergeCell ref="N182:O182"/>
    <mergeCell ref="P182:Q182"/>
    <mergeCell ref="R67:S67"/>
    <mergeCell ref="R68:S68"/>
    <mergeCell ref="R71:S71"/>
    <mergeCell ref="R72:S72"/>
    <mergeCell ref="N69:O70"/>
    <mergeCell ref="P69:Q70"/>
    <mergeCell ref="L56:M56"/>
    <mergeCell ref="L61:M61"/>
    <mergeCell ref="N61:O61"/>
    <mergeCell ref="R61:S61"/>
    <mergeCell ref="R62:S62"/>
    <mergeCell ref="R63:S63"/>
    <mergeCell ref="N66:O66"/>
    <mergeCell ref="P66:Q66"/>
    <mergeCell ref="L66:M66"/>
    <mergeCell ref="L68:M68"/>
    <mergeCell ref="N68:O68"/>
    <mergeCell ref="P68:Q68"/>
    <mergeCell ref="L71:M71"/>
    <mergeCell ref="N71:O71"/>
    <mergeCell ref="P71:Q71"/>
    <mergeCell ref="L72:M72"/>
    <mergeCell ref="N72:O72"/>
    <mergeCell ref="P72:Q72"/>
    <mergeCell ref="R80:S80"/>
    <mergeCell ref="R81:S81"/>
    <mergeCell ref="L83:M83"/>
    <mergeCell ref="R83:S83"/>
    <mergeCell ref="N86:O86"/>
    <mergeCell ref="P86:Q86"/>
    <mergeCell ref="R85:S85"/>
    <mergeCell ref="R84:S84"/>
    <mergeCell ref="L75:M75"/>
    <mergeCell ref="N75:O75"/>
    <mergeCell ref="P75:Q75"/>
    <mergeCell ref="R76:S76"/>
    <mergeCell ref="R77:S77"/>
    <mergeCell ref="L86:M86"/>
    <mergeCell ref="R86:S86"/>
    <mergeCell ref="L81:M81"/>
    <mergeCell ref="N81:O81"/>
    <mergeCell ref="P81:Q81"/>
    <mergeCell ref="L84:M84"/>
    <mergeCell ref="N84:O84"/>
    <mergeCell ref="P84:Q84"/>
    <mergeCell ref="L85:M85"/>
    <mergeCell ref="N85:O85"/>
    <mergeCell ref="P85:Q85"/>
    <mergeCell ref="R91:S91"/>
    <mergeCell ref="L96:M96"/>
    <mergeCell ref="N96:O96"/>
    <mergeCell ref="R96:S96"/>
    <mergeCell ref="R92:S92"/>
    <mergeCell ref="R93:S93"/>
    <mergeCell ref="R97:S97"/>
    <mergeCell ref="R121:S121"/>
    <mergeCell ref="R122:S122"/>
    <mergeCell ref="P98:Q98"/>
    <mergeCell ref="L104:M104"/>
    <mergeCell ref="N104:O104"/>
    <mergeCell ref="P104:Q104"/>
    <mergeCell ref="L105:M105"/>
    <mergeCell ref="N105:O105"/>
    <mergeCell ref="P105:Q105"/>
    <mergeCell ref="L92:M92"/>
    <mergeCell ref="N92:O92"/>
    <mergeCell ref="P92:Q92"/>
    <mergeCell ref="L93:M93"/>
    <mergeCell ref="N93:O93"/>
    <mergeCell ref="P93:Q93"/>
    <mergeCell ref="L97:M97"/>
    <mergeCell ref="N97:O97"/>
    <mergeCell ref="R126:S126"/>
    <mergeCell ref="R127:S127"/>
    <mergeCell ref="R128:S128"/>
    <mergeCell ref="K106:K110"/>
    <mergeCell ref="R116:S116"/>
    <mergeCell ref="R117:S117"/>
    <mergeCell ref="R98:S98"/>
    <mergeCell ref="N103:O103"/>
    <mergeCell ref="P103:Q103"/>
    <mergeCell ref="L110:M110"/>
    <mergeCell ref="N110:O110"/>
    <mergeCell ref="P110:Q110"/>
    <mergeCell ref="R111:S111"/>
    <mergeCell ref="R112:S112"/>
    <mergeCell ref="R120:S120"/>
    <mergeCell ref="K118:K119"/>
    <mergeCell ref="K123:K125"/>
    <mergeCell ref="L116:M116"/>
    <mergeCell ref="N116:O116"/>
    <mergeCell ref="P116:Q116"/>
    <mergeCell ref="L98:M98"/>
    <mergeCell ref="N98:O98"/>
    <mergeCell ref="L126:M126"/>
    <mergeCell ref="N126:O126"/>
    <mergeCell ref="R131:S131"/>
    <mergeCell ref="R132:S132"/>
    <mergeCell ref="R133:S133"/>
    <mergeCell ref="R136:S136"/>
    <mergeCell ref="R137:S137"/>
    <mergeCell ref="R141:S141"/>
    <mergeCell ref="R142:S142"/>
    <mergeCell ref="R145:S145"/>
    <mergeCell ref="R146:S146"/>
    <mergeCell ref="R182:S182"/>
    <mergeCell ref="R183:S183"/>
    <mergeCell ref="R155:S155"/>
    <mergeCell ref="R156:S156"/>
    <mergeCell ref="R157:S157"/>
    <mergeCell ref="R161:S161"/>
    <mergeCell ref="R162:S162"/>
    <mergeCell ref="R164:S164"/>
    <mergeCell ref="R165:S165"/>
    <mergeCell ref="R167:S167"/>
    <mergeCell ref="R168:S168"/>
    <mergeCell ref="K53:K56"/>
    <mergeCell ref="T170:T176"/>
    <mergeCell ref="R184:S184"/>
    <mergeCell ref="R185:S185"/>
    <mergeCell ref="L78:M79"/>
    <mergeCell ref="N78:O79"/>
    <mergeCell ref="P78:Q79"/>
    <mergeCell ref="N82:O83"/>
    <mergeCell ref="L73:M74"/>
    <mergeCell ref="N73:O74"/>
    <mergeCell ref="P73:Q74"/>
    <mergeCell ref="L106:M107"/>
    <mergeCell ref="N106:O107"/>
    <mergeCell ref="P106:Q107"/>
    <mergeCell ref="L108:M109"/>
    <mergeCell ref="N108:O109"/>
    <mergeCell ref="P108:Q109"/>
    <mergeCell ref="R170:S170"/>
    <mergeCell ref="R171:S171"/>
    <mergeCell ref="R177:S177"/>
    <mergeCell ref="R178:S178"/>
    <mergeCell ref="R179:S179"/>
    <mergeCell ref="R180:S180"/>
    <mergeCell ref="R181:S181"/>
  </mergeCells>
  <conditionalFormatting sqref="J5 J11 J15 J20 J26 J32 J37 J41 J46 J51 J57 J62 J67 J71 J76 J80 J84 J92 J97 J104 J111 J116 J120 J126 J131 J136 J141 J145 J149 J153 J161 J164 J167 J170">
    <cfRule type="cellIs" dxfId="13" priority="14" operator="equal">
      <formula>"Conformité"</formula>
    </cfRule>
  </conditionalFormatting>
  <conditionalFormatting sqref="J177:J185">
    <cfRule type="cellIs" dxfId="12" priority="8" operator="equal">
      <formula>"Non-conformité mineure"</formula>
    </cfRule>
    <cfRule type="cellIs" dxfId="11" priority="9" operator="equal">
      <formula>"Non-conformité majeure"</formula>
    </cfRule>
  </conditionalFormatting>
  <conditionalFormatting sqref="M7:M9 O7:O8 Q7:Q10 S7:S9 M22:M25 M28:M31 O28:O31 Q28:Q30 S28:S31 M34:M36 O34:O35 S39:S40 M43:M45 S43:S45 M48:M50 O48:O50 Q48:Q49 S48:S50 M53:M55 O53:O56 Q53:Q56 S53:S56 M59:M60 O59:O60 S59:S60 O64:O65 Q64:Q65 S69:S70 S73:S75 S78:S79 M82 Q82:Q83 S82 M88:M90 O88:O91 Q88:Q90 S88:S90 M94:M95 O94:O95 Q94:Q96 S94:S95 O99:O102 Q99:Q102 M113:M115 O113:O115 Q113:Q115 S113:S115 M118:M119 O118:O119 Q118:Q119 S118:S119 M123:M125 O123:O125 Q123:Q125 S123:S125 M134:M135 O134:O135 Q134:Q135 S134:S135 S147:S148 M158:M160 O158:O160 Q158:Q160 S158:S160 M163 O163 Q163 S163 M166 O166 Q166 S166 M99:M103 S99:S103 M129:M130 O129:O130 Q129:Q130 S129:S130 M138:M140 M169 O169 Q169 S169 Q34:Q36 S34:S36 Q59:Q61 S64:S66 S106:S110 M172:M176 O172:O176 Q172:Q176 S172:S176 M13:M14 O13:O14 Q13:Q14 S13:S14 O138:O140 Q138:Q140 S138:S140 S151:S152 M39:M40 M17:M19 Q17:Q19 S17:S19 M69:M70 M64:M65 O22:O25 Q22:Q24 S22:S25 M143:M144 O143:O144 Q143:Q144 S143:S144 M147:M148">
    <cfRule type="cellIs" dxfId="10" priority="5" operator="equal">
      <formula>"Non"</formula>
    </cfRule>
    <cfRule type="cellIs" dxfId="9" priority="6" operator="equal">
      <formula>"Oui"</formula>
    </cfRule>
    <cfRule type="cellIs" dxfId="8" priority="7" operator="equal">
      <formula>"NA"</formula>
    </cfRule>
  </conditionalFormatting>
  <conditionalFormatting sqref="J5:J176">
    <cfRule type="cellIs" dxfId="7" priority="2" operator="equal">
      <formula>"Non applicable (mission non confiée au sous-traitant)"</formula>
    </cfRule>
    <cfRule type="cellIs" dxfId="6" priority="3" operator="equal">
      <formula>"Non audité (audit de surveillance)"</formula>
    </cfRule>
    <cfRule type="cellIs" dxfId="5" priority="4" operator="equal">
      <formula>"Non applicable (uniquement pour un sous-traitant à 100%)"</formula>
    </cfRule>
    <cfRule type="cellIs" dxfId="4" priority="10" operator="equal">
      <formula>"Non traité en audit de surveillance"</formula>
    </cfRule>
    <cfRule type="cellIs" dxfId="3" priority="11" operator="equal">
      <formula>"Non applicable"</formula>
    </cfRule>
    <cfRule type="cellIs" dxfId="2" priority="12" operator="equal">
      <formula>"Non-conformité majeure"</formula>
    </cfRule>
    <cfRule type="cellIs" dxfId="1" priority="13" operator="equal">
      <formula>"Non-conformité mineure"</formula>
    </cfRule>
  </conditionalFormatting>
  <conditionalFormatting sqref="J62:J66">
    <cfRule type="cellIs" dxfId="0" priority="1" operator="equal">
      <formula>"Non applicable (prestations de 2 jours maximum)"</formula>
    </cfRule>
  </conditionalFormatting>
  <dataValidations count="19">
    <dataValidation type="list" allowBlank="1" showInputMessage="1" showErrorMessage="1" sqref="J62:J66" xr:uid="{9E7C989F-DE97-4732-B545-42DC0EE7A62C}">
      <formula1>"Conformité,Non-conformité mineure,Non-conformité majeure,Non audité (audit de surveillance),Non applicable (prestations de 2 jours maximum),Non audité (audit complémentaire)"</formula1>
    </dataValidation>
    <dataValidation type="list" allowBlank="1" showInputMessage="1" showErrorMessage="1" sqref="Q174 Q7:Q10 O7:O8 S25 M13:M14 S174 O13:O14 Q13:Q14 S7:S9 S17 M7:M8 S13:S14 M28:M29 O28:O31 Q28:Q30 S22 M34 O34 Q34:Q35 S28:S31 S166 S34:S35 M43:M44 S39:S40 M48:M49 O48:O50 Q48:Q49 S43:S45 O25 O53:O56 Q53:Q56 S48:S49 M59:M60 O59:O60 S53:S56 Q59:Q61 Q17 O64:O65 Q64:Q65 S59:S60 S64:S66 Q19 S73:S75 M99:M101 S78:S79 Q82 M88:M90 O88:O91 Q88:Q90 S82 M94:M95 O94:O95 Q94:Q96 S88:S90 S99:S101 O99:O101 Q99:Q101 S69 M113:M115 O113:O115 Q113:Q115 S106:S110 M118:M119 O118:O119 Q118:Q119 S113:S115 M123:M125 O123:O125 Q123:Q125 S118:S119 S94:S95 M129 O129 Q129 M134:M135 O134:O135 Q134:Q135 S129 S123:S125 M138 O138 Q138 S172 Q172 O172 S138 Q22 O174 M158:M160 O158:O160 Q158:Q160 S147:S148 M163 O163 Q163 S158:S160 M166 O166 Q166 S163 S134:S135 M53:M55 M22 M174 S19 M172 O22" xr:uid="{D1AF4D57-F76D-49A5-8C41-FF23084FE9E8}">
      <formula1>"Oui,Non"</formula1>
    </dataValidation>
    <dataValidation type="list" allowBlank="1" showInputMessage="1" showErrorMessage="1" sqref="M9 O23:O24 Q175:Q176 S23:S24 M30:M31 M35:M36 S70 S18 Q36 M45 M50 S36 M82 S50 M69:M70 M102:M103 O102 Q102 O35 M130 O130 Q130 S102:S103 M139:M140 S175:S176 O139:O140 Q139:Q140 M169 O169 Q169 S151:S152 M175:M176 M173 Q173 Q23:Q24 O175:O176 O173 S169 S130 S139:S140 M39:M40 Q18 M23:M25 M64:M65 S173 M17:M19 M143:M144 O143:O144 Q143:Q144 S143:S144 M147:M148" xr:uid="{38607AA9-C620-4500-8A2F-A8282D3E56F0}">
      <formula1>"Oui,Non,NA"</formula1>
    </dataValidation>
    <dataValidation type="list" allowBlank="1" showInputMessage="1" showErrorMessage="1" sqref="J5:J10" xr:uid="{A66F3DF4-E4E1-4EB1-B246-A2D6EC5C73C8}">
      <formula1>"Conformité,Non-conformité mineure,Non-conformité majeure,Non applicable (uniquement pour un sous-traitant à 100%),Non audité (audit complémentaire)"</formula1>
    </dataValidation>
    <dataValidation type="list" allowBlank="1" showInputMessage="1" showErrorMessage="1" sqref="J11:J14" xr:uid="{5CDB5807-8886-44CB-B5E3-5F16A12718F3}">
      <formula1>"Conformité,Non-conformité mineure,Non-conformité majeure,Non-audité (audit de surveillance),Non applicable (uniquement pour un sous-traitant à 100%),Non audité (audit complémentaire)"</formula1>
    </dataValidation>
    <dataValidation type="list" allowBlank="1" showInputMessage="1" showErrorMessage="1" sqref="J37:J40" xr:uid="{0CDF46BE-0EFC-4FE0-98C3-B91A213E2A3B}">
      <formula1>"Conformité, Non-conformité majeure, Non applicable,Non applicable (mission non confiée au sous-traitant),Non audité (audit complémentaire)"</formula1>
    </dataValidation>
    <dataValidation type="list" allowBlank="1" showInputMessage="1" showErrorMessage="1" sqref="J46:J50" xr:uid="{6A1589F4-C6AA-4150-A7B4-E51963459317}">
      <formula1>"Conformité,Non-conformité mineure,Non-conformité majeure,Non audité (audit de surveillance),Non applicable (mission non confiée au sous-traitant),Non audité (audit complémentaire)"</formula1>
    </dataValidation>
    <dataValidation type="list" allowBlank="1" showInputMessage="1" showErrorMessage="1" sqref="J67:J70" xr:uid="{903CB1DA-9E28-46F0-89F7-FA491C848EE6}">
      <formula1>"Conformité,Non-conformité mineure,Non-conformité majeure,Non applicable,Non audité (audit de surveillance),Non applicable (mission non confiée au sous-traitant),Non audité (audit complémentaire)"</formula1>
    </dataValidation>
    <dataValidation type="list" allowBlank="1" showInputMessage="1" showErrorMessage="1" sqref="J80:J83" xr:uid="{6E75B905-B2FF-419D-A289-EEEB4A376100}">
      <formula1>"Conformité, Non-conformité majeure,Non applicable,Non applicable (mission non confiée au sous-traitant),Non audité (audit complémentaire)"</formula1>
    </dataValidation>
    <dataValidation type="list" allowBlank="1" showInputMessage="1" showErrorMessage="1" sqref="J145:J148" xr:uid="{9D20A943-9781-4970-BF73-A74EF4A1F42C}">
      <formula1>"Conformité,Non-conformité mineure,Non-conformité majeure,Non applicable,Non applicable (mission non confiée au sous-traitant),Non audité (audit de surveillance),Non audité (audit complémentaire)"</formula1>
    </dataValidation>
    <dataValidation type="list" allowBlank="1" showInputMessage="1" showErrorMessage="1" sqref="J15:J19" xr:uid="{012A246A-8B5A-4F80-B9DE-20F1F2C8F11A}">
      <formula1>"Conformité,Non-conformité mineure,Non-conformité majeure,Non applicable,Non audité (audit complémentaire)"</formula1>
    </dataValidation>
    <dataValidation type="list" allowBlank="1" showInputMessage="1" showErrorMessage="1" sqref="J20:J36 J51:J61 J111:J119 J136:J140 J161:J166" xr:uid="{B6FA19D0-480F-4587-B0A4-19638B132B64}">
      <formula1>"Conformité, Non-conformité majeure,Non audité (audit complémentaire)"</formula1>
    </dataValidation>
    <dataValidation type="list" allowBlank="1" showInputMessage="1" showErrorMessage="1" sqref="J41:J45 J120:J135 J153:J160" xr:uid="{248D57BE-7A75-4682-9A9D-CA557335ECBB}">
      <formula1>"Conformité,Non-conformité mineure,Non-conformité majeure,Non audité (audit de surveillance),Non audité (audit complémentaire)"</formula1>
    </dataValidation>
    <dataValidation type="list" allowBlank="1" showInputMessage="1" showErrorMessage="1" sqref="J71:J79 J104:J110 J149:J152 J170:J176" xr:uid="{6F6C30CB-DB94-4F93-8FD7-6A915DB23521}">
      <formula1>"Conformité,Non-conformité majeure,Non audité (audit complémentaire)"</formula1>
    </dataValidation>
    <dataValidation type="list" allowBlank="1" showInputMessage="1" showErrorMessage="1" sqref="J84:J91 J167:J169" xr:uid="{AAB97A75-6CC4-443C-B9F1-E8B8869C2B9E}">
      <formula1>"Conformité,Non-conformité mineure,Non-conformité majeure,Non audité (audit complémentaire)"</formula1>
    </dataValidation>
    <dataValidation type="list" allowBlank="1" showInputMessage="1" showErrorMessage="1" sqref="J92:J96" xr:uid="{1212DC2B-A549-4CC4-B14C-10AB537F4714}">
      <formula1>"Conformité,Non-conformité mineure,Non-conformité majeur,Non audité (audit complémentaire)e,Non audité (audit de surveillance)"</formula1>
    </dataValidation>
    <dataValidation type="list" allowBlank="1" showInputMessage="1" showErrorMessage="1" sqref="J97:J103" xr:uid="{C8C678B4-105C-433C-8548-C1FC2D3E4868}">
      <formula1>"Conformité,Non-conformité mineure,Non-conformité majeu,Non audité (audit complémentaire)re"</formula1>
    </dataValidation>
    <dataValidation type="list" allowBlank="1" showInputMessage="1" showErrorMessage="1" sqref="J141:J144" xr:uid="{9381C5D0-705C-4C44-B652-4B8682EC69CF}">
      <formula1>"Conformité, Non-conformité majeure,Non applicable,Non audité (audit complémentaire)"</formula1>
    </dataValidation>
    <dataValidation type="list" allowBlank="1" showInputMessage="1" showErrorMessage="1" sqref="J177:J185" xr:uid="{D56C9D43-820D-4532-8048-D076F1711527}">
      <formula1>"Conformité,Non-conformité mineure,Non-conformité majeure"</formula1>
    </dataValidation>
  </dataValidations>
  <pageMargins left="0.7" right="0.7" top="0.75" bottom="0.75" header="0.3" footer="0.3"/>
  <pageSetup paperSize="9" scale="50"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LanceUSF1">
                <anchor moveWithCells="1" sizeWithCells="1">
                  <from>
                    <xdr:col>7</xdr:col>
                    <xdr:colOff>215900</xdr:colOff>
                    <xdr:row>0</xdr:row>
                    <xdr:rowOff>88900</xdr:rowOff>
                  </from>
                  <to>
                    <xdr:col>8</xdr:col>
                    <xdr:colOff>0</xdr:colOff>
                    <xdr:row>0</xdr:row>
                    <xdr:rowOff>711200</xdr:rowOff>
                  </to>
                </anchor>
              </controlPr>
            </control>
          </mc:Choice>
        </mc:AlternateContent>
        <mc:AlternateContent xmlns:mc="http://schemas.openxmlformats.org/markup-compatibility/2006">
          <mc:Choice Requires="x14">
            <control shapeId="2056" r:id="rId5" name="Button 8">
              <controlPr defaultSize="0" print="0" autoFill="0" autoPict="0" macro="[0]!NouveauUserform2">
                <anchor moveWithCells="1" sizeWithCells="1">
                  <from>
                    <xdr:col>6</xdr:col>
                    <xdr:colOff>342900</xdr:colOff>
                    <xdr:row>0</xdr:row>
                    <xdr:rowOff>88900</xdr:rowOff>
                  </from>
                  <to>
                    <xdr:col>6</xdr:col>
                    <xdr:colOff>1524000</xdr:colOff>
                    <xdr:row>0</xdr:row>
                    <xdr:rowOff>698500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71FD9-5C95-4645-B65D-0CF35B66FBB4}">
  <sheetPr codeName="Feuil2">
    <pageSetUpPr fitToPage="1"/>
  </sheetPr>
  <dimension ref="A6:G36"/>
  <sheetViews>
    <sheetView showGridLines="0" zoomScaleNormal="100" workbookViewId="0">
      <selection activeCell="C16" sqref="C16"/>
    </sheetView>
  </sheetViews>
  <sheetFormatPr baseColWidth="10" defaultRowHeight="15" x14ac:dyDescent="0.2"/>
  <cols>
    <col min="1" max="1" width="13.6640625" customWidth="1"/>
    <col min="2" max="2" width="14.33203125" customWidth="1"/>
    <col min="3" max="3" width="24.33203125" customWidth="1"/>
    <col min="4" max="4" width="35.5" customWidth="1"/>
    <col min="5" max="5" width="30.1640625" customWidth="1"/>
    <col min="6" max="7" width="13.83203125" customWidth="1"/>
  </cols>
  <sheetData>
    <row r="6" spans="2:7" ht="13.75" customHeight="1" x14ac:dyDescent="0.2"/>
    <row r="7" spans="2:7" ht="13.75" customHeight="1" x14ac:dyDescent="0.2"/>
    <row r="8" spans="2:7" ht="29" x14ac:dyDescent="0.35">
      <c r="B8" s="11"/>
      <c r="C8" s="13"/>
      <c r="D8" s="49" t="s">
        <v>26</v>
      </c>
      <c r="E8" s="11"/>
      <c r="F8" s="11"/>
      <c r="G8" s="11"/>
    </row>
    <row r="9" spans="2:7" ht="30.5" customHeight="1" thickBot="1" x14ac:dyDescent="0.25"/>
    <row r="10" spans="2:7" ht="19.25" customHeight="1" x14ac:dyDescent="0.2">
      <c r="B10" s="24" t="s">
        <v>27</v>
      </c>
      <c r="C10" s="25"/>
      <c r="D10" s="328">
        <f>OPAC!B12</f>
        <v>0</v>
      </c>
      <c r="E10" s="329"/>
      <c r="F10" s="330"/>
    </row>
    <row r="11" spans="2:7" ht="19.25" customHeight="1" x14ac:dyDescent="0.2">
      <c r="B11" s="22" t="s">
        <v>116</v>
      </c>
      <c r="C11" s="26"/>
      <c r="D11" s="331" t="str">
        <f>IF('OPAC multisite'!F11="","",'OPAC multisite'!F11)</f>
        <v/>
      </c>
      <c r="E11" s="332"/>
      <c r="F11" s="333"/>
    </row>
    <row r="12" spans="2:7" ht="19.25" customHeight="1" thickBot="1" x14ac:dyDescent="0.25">
      <c r="B12" s="23" t="s">
        <v>28</v>
      </c>
      <c r="C12" s="27"/>
      <c r="D12" s="334" t="str">
        <f>'Rapport d''audit'!B3</f>
        <v>V1 : CNEFOP, Formation, BC, VAE, CFA</v>
      </c>
      <c r="E12" s="335"/>
      <c r="F12" s="336"/>
    </row>
    <row r="13" spans="2:7" ht="34.25" customHeight="1" thickBot="1" x14ac:dyDescent="0.25"/>
    <row r="14" spans="2:7" ht="22" customHeight="1" thickBot="1" x14ac:dyDescent="0.25">
      <c r="C14" s="16" t="s">
        <v>29</v>
      </c>
      <c r="D14" s="77">
        <f>OPAC!B6</f>
        <v>0</v>
      </c>
      <c r="E14" s="17"/>
      <c r="F14" s="73"/>
    </row>
    <row r="15" spans="2:7" ht="22" customHeight="1" thickBot="1" x14ac:dyDescent="0.25">
      <c r="C15" s="3" t="s">
        <v>30</v>
      </c>
      <c r="D15" s="4" t="s">
        <v>31</v>
      </c>
      <c r="E15" s="18" t="s">
        <v>11</v>
      </c>
    </row>
    <row r="16" spans="2:7" ht="22" customHeight="1" x14ac:dyDescent="0.2">
      <c r="C16" s="5"/>
      <c r="D16" s="6"/>
      <c r="E16" s="19"/>
    </row>
    <row r="17" spans="2:6" ht="22" customHeight="1" x14ac:dyDescent="0.2">
      <c r="C17" s="7"/>
      <c r="D17" s="8"/>
      <c r="E17" s="20"/>
    </row>
    <row r="18" spans="2:6" ht="22" customHeight="1" x14ac:dyDescent="0.2">
      <c r="C18" s="7"/>
      <c r="D18" s="8"/>
      <c r="E18" s="85"/>
    </row>
    <row r="19" spans="2:6" ht="22" customHeight="1" x14ac:dyDescent="0.2">
      <c r="C19" s="7"/>
      <c r="D19" s="8"/>
      <c r="E19" s="20"/>
    </row>
    <row r="20" spans="2:6" ht="22" customHeight="1" x14ac:dyDescent="0.2">
      <c r="C20" s="7"/>
      <c r="D20" s="8"/>
      <c r="E20" s="20"/>
    </row>
    <row r="21" spans="2:6" ht="22" customHeight="1" thickBot="1" x14ac:dyDescent="0.25">
      <c r="C21" s="9"/>
      <c r="D21" s="15"/>
      <c r="E21" s="21"/>
    </row>
    <row r="22" spans="2:6" ht="22" customHeight="1" x14ac:dyDescent="0.2">
      <c r="B22" s="1"/>
      <c r="C22" s="1"/>
      <c r="D22" s="1"/>
      <c r="E22" s="1"/>
      <c r="F22" s="1"/>
    </row>
    <row r="23" spans="2:6" ht="27.5" customHeight="1" thickBot="1" x14ac:dyDescent="0.25">
      <c r="B23" s="1"/>
      <c r="C23" s="1"/>
      <c r="D23" s="1"/>
      <c r="E23" s="1"/>
      <c r="F23" s="1"/>
    </row>
    <row r="24" spans="2:6" ht="22" customHeight="1" thickBot="1" x14ac:dyDescent="0.25">
      <c r="C24" s="16" t="s">
        <v>32</v>
      </c>
      <c r="D24" s="77">
        <f>OPAC!B7</f>
        <v>0</v>
      </c>
      <c r="E24" s="17"/>
      <c r="F24" s="73"/>
    </row>
    <row r="25" spans="2:6" ht="22" customHeight="1" thickBot="1" x14ac:dyDescent="0.25">
      <c r="C25" s="3" t="s">
        <v>30</v>
      </c>
      <c r="D25" s="4" t="s">
        <v>31</v>
      </c>
      <c r="E25" s="18" t="s">
        <v>11</v>
      </c>
      <c r="F25" s="1"/>
    </row>
    <row r="26" spans="2:6" ht="22" customHeight="1" x14ac:dyDescent="0.2">
      <c r="C26" s="5"/>
      <c r="D26" s="6"/>
      <c r="E26" s="19"/>
      <c r="F26" s="1"/>
    </row>
    <row r="27" spans="2:6" ht="22" customHeight="1" x14ac:dyDescent="0.2">
      <c r="C27" s="7"/>
      <c r="D27" s="8"/>
      <c r="E27" s="20"/>
      <c r="F27" s="1"/>
    </row>
    <row r="28" spans="2:6" ht="22" customHeight="1" x14ac:dyDescent="0.2">
      <c r="C28" s="7"/>
      <c r="D28" s="8"/>
      <c r="E28" s="85"/>
      <c r="F28" s="1"/>
    </row>
    <row r="29" spans="2:6" ht="22" customHeight="1" x14ac:dyDescent="0.2">
      <c r="C29" s="7"/>
      <c r="D29" s="8"/>
      <c r="E29" s="20"/>
      <c r="F29" s="1"/>
    </row>
    <row r="30" spans="2:6" ht="22" customHeight="1" x14ac:dyDescent="0.2">
      <c r="C30" s="7"/>
      <c r="D30" s="8"/>
      <c r="E30" s="20"/>
      <c r="F30" s="1"/>
    </row>
    <row r="31" spans="2:6" ht="22" customHeight="1" thickBot="1" x14ac:dyDescent="0.25">
      <c r="C31" s="9"/>
      <c r="D31" s="15"/>
      <c r="E31" s="21"/>
      <c r="F31" s="1"/>
    </row>
    <row r="34" spans="1:7" ht="21" x14ac:dyDescent="0.25">
      <c r="A34" s="10" t="s">
        <v>33</v>
      </c>
      <c r="B34" s="48"/>
      <c r="C34" s="48"/>
      <c r="D34" s="48"/>
      <c r="E34" s="48"/>
      <c r="F34" s="48"/>
      <c r="G34" s="11"/>
    </row>
    <row r="35" spans="1:7" ht="21" x14ac:dyDescent="0.25">
      <c r="A35" s="12" t="s">
        <v>34</v>
      </c>
      <c r="B35" s="48"/>
      <c r="C35" s="48"/>
      <c r="D35" s="48"/>
      <c r="E35" s="48"/>
      <c r="F35" s="48"/>
      <c r="G35" s="11"/>
    </row>
    <row r="36" spans="1:7" x14ac:dyDescent="0.2">
      <c r="A36" s="11"/>
      <c r="B36" s="11"/>
      <c r="C36" s="11"/>
      <c r="D36" s="11"/>
      <c r="E36" s="11"/>
    </row>
  </sheetData>
  <mergeCells count="3">
    <mergeCell ref="D10:F10"/>
    <mergeCell ref="D11:F11"/>
    <mergeCell ref="D12:F12"/>
  </mergeCells>
  <pageMargins left="0.7" right="0.7" top="0.75" bottom="0.75" header="0.3" footer="0.3"/>
  <pageSetup paperSize="9" scale="68"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BEA7A0-36EB-441A-8B32-CDA37B01F54B}">
  <sheetPr codeName="Feuil7">
    <pageSetUpPr fitToPage="1"/>
  </sheetPr>
  <dimension ref="A1:I19"/>
  <sheetViews>
    <sheetView showGridLines="0" zoomScale="110" zoomScaleNormal="110" workbookViewId="0">
      <selection activeCell="B10" sqref="B10"/>
    </sheetView>
  </sheetViews>
  <sheetFormatPr baseColWidth="10" defaultRowHeight="15" x14ac:dyDescent="0.2"/>
  <cols>
    <col min="1" max="1" width="4.1640625" customWidth="1"/>
    <col min="2" max="2" width="32.33203125" customWidth="1"/>
    <col min="3" max="3" width="11.5" hidden="1" customWidth="1"/>
    <col min="4" max="4" width="23.83203125" customWidth="1"/>
    <col min="6" max="6" width="17.83203125" customWidth="1"/>
    <col min="7" max="7" width="6.33203125" customWidth="1"/>
    <col min="8" max="8" width="4.83203125" customWidth="1"/>
    <col min="9" max="9" width="81.1640625" customWidth="1"/>
  </cols>
  <sheetData>
    <row r="1" spans="1:9" ht="29" x14ac:dyDescent="0.35">
      <c r="B1" s="47" t="s">
        <v>75</v>
      </c>
    </row>
    <row r="3" spans="1:9" ht="33" customHeight="1" x14ac:dyDescent="0.2">
      <c r="A3" s="54" t="s">
        <v>78</v>
      </c>
      <c r="H3" s="54" t="s">
        <v>81</v>
      </c>
      <c r="I3" s="50"/>
    </row>
    <row r="4" spans="1:9" ht="20.5" customHeight="1" x14ac:dyDescent="0.2">
      <c r="A4" s="53" t="s">
        <v>82</v>
      </c>
      <c r="B4" s="337" t="s">
        <v>76</v>
      </c>
      <c r="C4" s="337"/>
      <c r="D4" s="337"/>
      <c r="E4" s="337"/>
      <c r="F4" s="337"/>
      <c r="H4" s="55" t="s">
        <v>79</v>
      </c>
      <c r="I4" s="50"/>
    </row>
    <row r="5" spans="1:9" ht="40.25" customHeight="1" x14ac:dyDescent="0.2">
      <c r="A5" s="53" t="s">
        <v>82</v>
      </c>
      <c r="B5" s="338" t="s">
        <v>77</v>
      </c>
      <c r="C5" s="338"/>
      <c r="D5" s="338"/>
      <c r="E5" s="338"/>
      <c r="F5" s="338"/>
      <c r="H5" s="53" t="s">
        <v>82</v>
      </c>
      <c r="I5" s="56" t="s">
        <v>83</v>
      </c>
    </row>
    <row r="6" spans="1:9" ht="49.25" customHeight="1" x14ac:dyDescent="0.2">
      <c r="A6" s="53" t="s">
        <v>82</v>
      </c>
      <c r="B6" s="337" t="s">
        <v>267</v>
      </c>
      <c r="C6" s="337"/>
      <c r="D6" s="337"/>
      <c r="E6" s="337"/>
      <c r="F6" s="337"/>
      <c r="H6" s="53" t="s">
        <v>82</v>
      </c>
      <c r="I6" s="57" t="s">
        <v>271</v>
      </c>
    </row>
    <row r="7" spans="1:9" ht="45.5" customHeight="1" x14ac:dyDescent="0.2">
      <c r="A7" s="53" t="s">
        <v>82</v>
      </c>
      <c r="B7" s="338" t="s">
        <v>268</v>
      </c>
      <c r="C7" s="338"/>
      <c r="D7" s="338"/>
      <c r="E7" s="338"/>
      <c r="F7" s="338"/>
      <c r="G7" s="51"/>
      <c r="H7" s="53" t="s">
        <v>82</v>
      </c>
      <c r="I7" s="56" t="s">
        <v>272</v>
      </c>
    </row>
    <row r="8" spans="1:9" ht="26.5" customHeight="1" x14ac:dyDescent="0.2">
      <c r="A8" s="53" t="s">
        <v>82</v>
      </c>
      <c r="B8" s="337" t="s">
        <v>269</v>
      </c>
      <c r="C8" s="337"/>
      <c r="D8" s="337"/>
      <c r="E8" s="337"/>
      <c r="F8" s="337"/>
    </row>
    <row r="9" spans="1:9" ht="26.5" customHeight="1" x14ac:dyDescent="0.2">
      <c r="A9" s="53" t="s">
        <v>82</v>
      </c>
      <c r="B9" s="58" t="s">
        <v>270</v>
      </c>
      <c r="C9" s="59"/>
      <c r="D9" s="59"/>
      <c r="E9" s="59"/>
      <c r="F9" s="59"/>
      <c r="H9" s="55" t="s">
        <v>80</v>
      </c>
      <c r="I9" s="50"/>
    </row>
    <row r="10" spans="1:9" ht="39.5" customHeight="1" x14ac:dyDescent="0.2">
      <c r="B10" t="s">
        <v>266</v>
      </c>
      <c r="C10" s="50"/>
      <c r="D10" s="50"/>
      <c r="E10" s="50"/>
      <c r="F10" s="50"/>
      <c r="H10" s="53" t="s">
        <v>82</v>
      </c>
      <c r="I10" s="56" t="s">
        <v>273</v>
      </c>
    </row>
    <row r="11" spans="1:9" ht="51" customHeight="1" x14ac:dyDescent="0.2">
      <c r="H11" s="53" t="s">
        <v>82</v>
      </c>
      <c r="I11" s="57" t="s">
        <v>274</v>
      </c>
    </row>
    <row r="12" spans="1:9" ht="49.25" customHeight="1" x14ac:dyDescent="0.2">
      <c r="G12" s="52"/>
      <c r="H12" s="53" t="s">
        <v>82</v>
      </c>
      <c r="I12" s="56" t="s">
        <v>138</v>
      </c>
    </row>
    <row r="13" spans="1:9" ht="31.75" customHeight="1" x14ac:dyDescent="0.2">
      <c r="G13" s="51"/>
      <c r="H13" s="51"/>
      <c r="I13" s="51"/>
    </row>
    <row r="14" spans="1:9" ht="30" customHeight="1" x14ac:dyDescent="0.2">
      <c r="G14" s="51"/>
      <c r="H14" s="51"/>
      <c r="I14" s="51"/>
    </row>
    <row r="15" spans="1:9" ht="30.5" customHeight="1" x14ac:dyDescent="0.2">
      <c r="G15" s="51"/>
      <c r="H15" s="51"/>
      <c r="I15" s="51"/>
    </row>
    <row r="16" spans="1:9" ht="27.5" customHeight="1" x14ac:dyDescent="0.2"/>
    <row r="17" spans="7:9" ht="51" customHeight="1" x14ac:dyDescent="0.2">
      <c r="G17" s="51"/>
      <c r="H17" s="51"/>
      <c r="I17" s="51"/>
    </row>
    <row r="18" spans="7:9" ht="52.75" customHeight="1" x14ac:dyDescent="0.2"/>
    <row r="19" spans="7:9" ht="54" customHeight="1" x14ac:dyDescent="0.2"/>
  </sheetData>
  <mergeCells count="5">
    <mergeCell ref="B4:F4"/>
    <mergeCell ref="B5:F5"/>
    <mergeCell ref="B6:F6"/>
    <mergeCell ref="B7:F7"/>
    <mergeCell ref="B8:F8"/>
  </mergeCells>
  <pageMargins left="0.25" right="0.25" top="0.75" bottom="0.75" header="0.3" footer="0.3"/>
  <pageSetup paperSize="9" scale="78"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22284-2062-4053-81F8-6D0C6DAE83E3}">
  <sheetPr codeName="Feuil8">
    <tabColor rgb="FFFF0000"/>
    <pageSetUpPr fitToPage="1"/>
  </sheetPr>
  <dimension ref="A7:G45"/>
  <sheetViews>
    <sheetView tabSelected="1" topLeftCell="A20" workbookViewId="0">
      <selection activeCell="G45" sqref="F45:G50"/>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52.75" customHeight="1" thickBot="1" x14ac:dyDescent="0.25"/>
    <row r="8" spans="1:7" ht="19.25" customHeight="1" thickBot="1" x14ac:dyDescent="0.25">
      <c r="B8" s="28" t="s">
        <v>27</v>
      </c>
      <c r="C8" s="29"/>
      <c r="D8" s="370">
        <f>OPAC!B12</f>
        <v>0</v>
      </c>
      <c r="E8" s="371"/>
      <c r="F8" s="372"/>
    </row>
    <row r="9" spans="1:7" ht="27" customHeight="1" x14ac:dyDescent="0.2">
      <c r="B9" s="30"/>
      <c r="C9" s="30"/>
      <c r="D9" s="34"/>
    </row>
    <row r="10" spans="1:7" ht="16" thickBot="1" x14ac:dyDescent="0.25"/>
    <row r="11" spans="1:7" ht="28.25" customHeight="1" x14ac:dyDescent="0.2">
      <c r="A11" s="38" t="s">
        <v>40</v>
      </c>
      <c r="B11" s="349">
        <f>OPAC!F8</f>
        <v>0</v>
      </c>
      <c r="C11" s="349"/>
      <c r="D11" s="35" t="s">
        <v>41</v>
      </c>
      <c r="E11" s="349">
        <f>OPAC!B12</f>
        <v>0</v>
      </c>
      <c r="F11" s="349"/>
      <c r="G11" s="352"/>
    </row>
    <row r="12" spans="1:7" ht="28.25" customHeight="1" x14ac:dyDescent="0.2">
      <c r="A12" s="36" t="s">
        <v>39</v>
      </c>
      <c r="B12" s="299"/>
      <c r="C12" s="299"/>
      <c r="D12" s="2" t="s">
        <v>42</v>
      </c>
      <c r="E12" s="250">
        <f>OPAC!B12</f>
        <v>0</v>
      </c>
      <c r="F12" s="250"/>
      <c r="G12" s="369"/>
    </row>
    <row r="13" spans="1:7" ht="42" customHeight="1" x14ac:dyDescent="0.2">
      <c r="A13" s="33" t="s">
        <v>118</v>
      </c>
      <c r="B13" s="250"/>
      <c r="C13" s="250"/>
      <c r="D13" s="250"/>
      <c r="E13" s="250"/>
      <c r="F13" s="250"/>
      <c r="G13" s="369"/>
    </row>
    <row r="14" spans="1:7" ht="45.5" customHeight="1" thickBot="1" x14ac:dyDescent="0.25">
      <c r="A14" s="39" t="s">
        <v>119</v>
      </c>
      <c r="B14" s="351"/>
      <c r="C14" s="351"/>
      <c r="D14" s="351"/>
      <c r="E14" s="351"/>
      <c r="F14" s="351"/>
      <c r="G14" s="353"/>
    </row>
    <row r="15" spans="1:7" ht="22.75" customHeight="1" thickBot="1" x14ac:dyDescent="0.25"/>
    <row r="16" spans="1:7" ht="15" customHeight="1" thickBot="1" x14ac:dyDescent="0.25">
      <c r="A16" s="345" t="s">
        <v>43</v>
      </c>
      <c r="B16" s="346"/>
      <c r="C16" s="346"/>
      <c r="D16" s="346"/>
      <c r="E16" s="346"/>
      <c r="F16" s="346"/>
      <c r="G16" s="347"/>
    </row>
    <row r="17" spans="1:7" ht="15" customHeight="1" thickBot="1" x14ac:dyDescent="0.25">
      <c r="A17" s="359" t="s">
        <v>120</v>
      </c>
      <c r="B17" s="360"/>
      <c r="C17" s="360"/>
      <c r="D17" s="360"/>
      <c r="E17" s="360"/>
      <c r="F17" s="360"/>
      <c r="G17" s="361"/>
    </row>
    <row r="18" spans="1:7" ht="56.5" customHeight="1" x14ac:dyDescent="0.2">
      <c r="A18" s="342"/>
      <c r="B18" s="227"/>
      <c r="C18" s="227"/>
      <c r="D18" s="227"/>
      <c r="E18" s="227"/>
      <c r="F18" s="227"/>
      <c r="G18" s="228"/>
    </row>
    <row r="19" spans="1:7" ht="56.5" customHeight="1" x14ac:dyDescent="0.2">
      <c r="A19" s="343"/>
      <c r="B19" s="229"/>
      <c r="C19" s="229"/>
      <c r="D19" s="229"/>
      <c r="E19" s="229"/>
      <c r="F19" s="229"/>
      <c r="G19" s="230"/>
    </row>
    <row r="20" spans="1:7" ht="56.5" customHeight="1" x14ac:dyDescent="0.2">
      <c r="A20" s="343"/>
      <c r="B20" s="229"/>
      <c r="C20" s="229"/>
      <c r="D20" s="229"/>
      <c r="E20" s="229"/>
      <c r="F20" s="229"/>
      <c r="G20" s="230"/>
    </row>
    <row r="21" spans="1:7" ht="56.5" customHeight="1" thickBot="1" x14ac:dyDescent="0.25">
      <c r="A21" s="344"/>
      <c r="B21" s="231"/>
      <c r="C21" s="231"/>
      <c r="D21" s="231"/>
      <c r="E21" s="231"/>
      <c r="F21" s="231"/>
      <c r="G21" s="232"/>
    </row>
    <row r="22" spans="1:7" ht="22.75" customHeight="1" thickBot="1" x14ac:dyDescent="0.25">
      <c r="A22" s="37" t="s">
        <v>45</v>
      </c>
      <c r="B22" s="362">
        <f>OPAC!B6</f>
        <v>0</v>
      </c>
      <c r="C22" s="294"/>
      <c r="D22" s="37" t="s">
        <v>46</v>
      </c>
      <c r="E22" s="292">
        <f>OPAC!F8</f>
        <v>0</v>
      </c>
      <c r="F22" s="293"/>
      <c r="G22" s="294"/>
    </row>
    <row r="23" spans="1:7" ht="24" customHeight="1" thickBot="1" x14ac:dyDescent="0.25">
      <c r="A23" s="40"/>
      <c r="D23" s="40"/>
    </row>
    <row r="24" spans="1:7" ht="15" customHeight="1" thickBot="1" x14ac:dyDescent="0.25">
      <c r="A24" s="363" t="s">
        <v>47</v>
      </c>
      <c r="B24" s="364"/>
      <c r="C24" s="364"/>
      <c r="D24" s="364"/>
      <c r="E24" s="364"/>
      <c r="F24" s="364"/>
      <c r="G24" s="365"/>
    </row>
    <row r="25" spans="1:7" ht="15" customHeight="1" thickBot="1" x14ac:dyDescent="0.25">
      <c r="A25" s="366" t="s">
        <v>71</v>
      </c>
      <c r="B25" s="367"/>
      <c r="C25" s="367"/>
      <c r="D25" s="367"/>
      <c r="E25" s="367"/>
      <c r="F25" s="367"/>
      <c r="G25" s="368"/>
    </row>
    <row r="26" spans="1:7" ht="42.5" customHeight="1" x14ac:dyDescent="0.2">
      <c r="A26" s="342"/>
      <c r="B26" s="227"/>
      <c r="C26" s="227"/>
      <c r="D26" s="227"/>
      <c r="E26" s="227"/>
      <c r="F26" s="227"/>
      <c r="G26" s="228"/>
    </row>
    <row r="27" spans="1:7" ht="42.5" customHeight="1" x14ac:dyDescent="0.2">
      <c r="A27" s="343"/>
      <c r="B27" s="229"/>
      <c r="C27" s="229"/>
      <c r="D27" s="229"/>
      <c r="E27" s="229"/>
      <c r="F27" s="229"/>
      <c r="G27" s="230"/>
    </row>
    <row r="28" spans="1:7" ht="42.5" customHeight="1" x14ac:dyDescent="0.2">
      <c r="A28" s="343"/>
      <c r="B28" s="229"/>
      <c r="C28" s="229"/>
      <c r="D28" s="229"/>
      <c r="E28" s="229"/>
      <c r="F28" s="229"/>
      <c r="G28" s="230"/>
    </row>
    <row r="29" spans="1:7" ht="42.5" customHeight="1" thickBot="1" x14ac:dyDescent="0.25">
      <c r="A29" s="344"/>
      <c r="B29" s="231"/>
      <c r="C29" s="231"/>
      <c r="D29" s="231"/>
      <c r="E29" s="231"/>
      <c r="F29" s="231"/>
      <c r="G29" s="232"/>
    </row>
    <row r="30" spans="1:7" ht="28.75" customHeight="1" thickBot="1" x14ac:dyDescent="0.25">
      <c r="A30" s="339" t="s">
        <v>72</v>
      </c>
      <c r="B30" s="340"/>
      <c r="C30" s="340"/>
      <c r="D30" s="340"/>
      <c r="E30" s="340"/>
      <c r="F30" s="340"/>
      <c r="G30" s="341"/>
    </row>
    <row r="31" spans="1:7" ht="42.5" customHeight="1" x14ac:dyDescent="0.2">
      <c r="A31" s="342"/>
      <c r="B31" s="227"/>
      <c r="C31" s="227"/>
      <c r="D31" s="227"/>
      <c r="E31" s="227"/>
      <c r="F31" s="227"/>
      <c r="G31" s="228"/>
    </row>
    <row r="32" spans="1:7" ht="42.5" customHeight="1" x14ac:dyDescent="0.2">
      <c r="A32" s="343"/>
      <c r="B32" s="229"/>
      <c r="C32" s="229"/>
      <c r="D32" s="229"/>
      <c r="E32" s="229"/>
      <c r="F32" s="229"/>
      <c r="G32" s="230"/>
    </row>
    <row r="33" spans="1:7" ht="42.5" customHeight="1" thickBot="1" x14ac:dyDescent="0.25">
      <c r="A33" s="344"/>
      <c r="B33" s="231"/>
      <c r="C33" s="231"/>
      <c r="D33" s="231"/>
      <c r="E33" s="231"/>
      <c r="F33" s="231"/>
      <c r="G33" s="232"/>
    </row>
    <row r="34" spans="1:7" ht="22.75" customHeight="1" thickBot="1" x14ac:dyDescent="0.25">
      <c r="A34" s="354" t="s">
        <v>48</v>
      </c>
      <c r="B34" s="355"/>
      <c r="C34" s="356"/>
      <c r="D34" s="357"/>
      <c r="E34" s="357"/>
      <c r="F34" s="357"/>
      <c r="G34" s="358"/>
    </row>
    <row r="35" spans="1:7" ht="22.75" customHeight="1" thickBot="1" x14ac:dyDescent="0.25">
      <c r="A35" s="37" t="s">
        <v>45</v>
      </c>
      <c r="B35" s="292"/>
      <c r="C35" s="294"/>
      <c r="D35" s="37" t="s">
        <v>46</v>
      </c>
      <c r="E35" s="292"/>
      <c r="F35" s="293"/>
      <c r="G35" s="294"/>
    </row>
    <row r="36" spans="1:7" ht="22.75" customHeight="1" thickBot="1" x14ac:dyDescent="0.25"/>
    <row r="37" spans="1:7" ht="15" customHeight="1" thickBot="1" x14ac:dyDescent="0.25">
      <c r="A37" s="345" t="s">
        <v>49</v>
      </c>
      <c r="B37" s="346"/>
      <c r="C37" s="346"/>
      <c r="D37" s="346"/>
      <c r="E37" s="346"/>
      <c r="F37" s="346"/>
      <c r="G37" s="347"/>
    </row>
    <row r="38" spans="1:7" ht="22.75" customHeight="1" x14ac:dyDescent="0.2">
      <c r="A38" s="348" t="s">
        <v>73</v>
      </c>
      <c r="B38" s="349"/>
      <c r="C38" s="349"/>
      <c r="D38" s="349"/>
      <c r="E38" s="349" t="s">
        <v>50</v>
      </c>
      <c r="F38" s="349"/>
      <c r="G38" s="352"/>
    </row>
    <row r="39" spans="1:7" ht="22.75" customHeight="1" thickBot="1" x14ac:dyDescent="0.25">
      <c r="A39" s="350"/>
      <c r="B39" s="351"/>
      <c r="C39" s="351"/>
      <c r="D39" s="351"/>
      <c r="E39" s="351" t="s">
        <v>51</v>
      </c>
      <c r="F39" s="351"/>
      <c r="G39" s="353"/>
    </row>
    <row r="40" spans="1:7" ht="16" thickBot="1" x14ac:dyDescent="0.25">
      <c r="A40" s="339" t="s">
        <v>74</v>
      </c>
      <c r="B40" s="340"/>
      <c r="C40" s="340"/>
      <c r="D40" s="340"/>
      <c r="E40" s="340"/>
      <c r="F40" s="340"/>
      <c r="G40" s="341"/>
    </row>
    <row r="41" spans="1:7" ht="42.5" customHeight="1" x14ac:dyDescent="0.2">
      <c r="A41" s="342"/>
      <c r="B41" s="227"/>
      <c r="C41" s="227"/>
      <c r="D41" s="227"/>
      <c r="E41" s="227"/>
      <c r="F41" s="227"/>
      <c r="G41" s="228"/>
    </row>
    <row r="42" spans="1:7" ht="42.5" customHeight="1" x14ac:dyDescent="0.2">
      <c r="A42" s="343"/>
      <c r="B42" s="229"/>
      <c r="C42" s="229"/>
      <c r="D42" s="229"/>
      <c r="E42" s="229"/>
      <c r="F42" s="229"/>
      <c r="G42" s="230"/>
    </row>
    <row r="43" spans="1:7" ht="42.5" customHeight="1" thickBot="1" x14ac:dyDescent="0.25">
      <c r="A43" s="344"/>
      <c r="B43" s="231"/>
      <c r="C43" s="231"/>
      <c r="D43" s="231"/>
      <c r="E43" s="231"/>
      <c r="F43" s="231"/>
      <c r="G43" s="232"/>
    </row>
    <row r="44" spans="1:7" ht="22.75" customHeight="1" thickBot="1" x14ac:dyDescent="0.25">
      <c r="A44" s="37" t="s">
        <v>45</v>
      </c>
      <c r="B44" s="292"/>
      <c r="C44" s="294"/>
      <c r="D44" s="37" t="s">
        <v>46</v>
      </c>
      <c r="E44" s="292">
        <f>OPAC!F8</f>
        <v>0</v>
      </c>
      <c r="F44" s="293"/>
      <c r="G44" s="294"/>
    </row>
    <row r="45" spans="1:7" ht="48.5" customHeight="1" x14ac:dyDescent="0.2">
      <c r="A45" s="40"/>
      <c r="B45" s="40"/>
    </row>
  </sheetData>
  <mergeCells count="29">
    <mergeCell ref="B13:G13"/>
    <mergeCell ref="D8:F8"/>
    <mergeCell ref="B11:C11"/>
    <mergeCell ref="E11:G11"/>
    <mergeCell ref="B12:C12"/>
    <mergeCell ref="E12:G12"/>
    <mergeCell ref="A34:B34"/>
    <mergeCell ref="C34:G34"/>
    <mergeCell ref="B14:G14"/>
    <mergeCell ref="A16:G16"/>
    <mergeCell ref="A17:G17"/>
    <mergeCell ref="A18:G21"/>
    <mergeCell ref="B22:C22"/>
    <mergeCell ref="E22:G22"/>
    <mergeCell ref="A24:G24"/>
    <mergeCell ref="A25:G25"/>
    <mergeCell ref="A26:G29"/>
    <mergeCell ref="A30:G30"/>
    <mergeCell ref="A31:G33"/>
    <mergeCell ref="A40:G40"/>
    <mergeCell ref="A41:G43"/>
    <mergeCell ref="B44:C44"/>
    <mergeCell ref="E44:G44"/>
    <mergeCell ref="B35:C35"/>
    <mergeCell ref="E35:G35"/>
    <mergeCell ref="A37:G37"/>
    <mergeCell ref="A38:D39"/>
    <mergeCell ref="E38:G38"/>
    <mergeCell ref="E39:G39"/>
  </mergeCells>
  <pageMargins left="0.7" right="0.7" top="0.75" bottom="0.75" header="0.3" footer="0.3"/>
  <pageSetup paperSize="9" scale="45"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ltText="">
                <anchor moveWithCells="1">
                  <from>
                    <xdr:col>5</xdr:col>
                    <xdr:colOff>774700</xdr:colOff>
                    <xdr:row>37</xdr:row>
                    <xdr:rowOff>38100</xdr:rowOff>
                  </from>
                  <to>
                    <xdr:col>6</xdr:col>
                    <xdr:colOff>63500</xdr:colOff>
                    <xdr:row>38</xdr:row>
                    <xdr:rowOff>76200</xdr:rowOff>
                  </to>
                </anchor>
              </controlPr>
            </control>
          </mc:Choice>
        </mc:AlternateContent>
        <mc:AlternateContent xmlns:mc="http://schemas.openxmlformats.org/markup-compatibility/2006">
          <mc:Choice Requires="x14">
            <control shapeId="9218" r:id="rId5" name="Check Box 2">
              <controlPr defaultSize="0" autoFill="0" autoLine="0" autoPict="0" altText="">
                <anchor moveWithCells="1">
                  <from>
                    <xdr:col>6</xdr:col>
                    <xdr:colOff>469900</xdr:colOff>
                    <xdr:row>38</xdr:row>
                    <xdr:rowOff>25400</xdr:rowOff>
                  </from>
                  <to>
                    <xdr:col>6</xdr:col>
                    <xdr:colOff>711200</xdr:colOff>
                    <xdr:row>39</xdr:row>
                    <xdr:rowOff>63500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A6BD8-ADAE-4B83-BD28-C1E8963327A7}">
  <sheetPr codeName="Feuil5">
    <pageSetUpPr fitToPage="1"/>
  </sheetPr>
  <dimension ref="A7:M46"/>
  <sheetViews>
    <sheetView showGridLines="0" topLeftCell="A35" zoomScaleNormal="100" workbookViewId="0">
      <selection activeCell="K38" sqref="K38"/>
    </sheetView>
  </sheetViews>
  <sheetFormatPr baseColWidth="10" defaultColWidth="11.5" defaultRowHeight="15" x14ac:dyDescent="0.2"/>
  <cols>
    <col min="1" max="1" width="17" bestFit="1" customWidth="1"/>
    <col min="2" max="2" width="14.33203125" customWidth="1"/>
    <col min="3" max="3" width="22.1640625" bestFit="1" customWidth="1"/>
    <col min="4" max="4" width="35.5" customWidth="1"/>
    <col min="5" max="5" width="16.1640625" customWidth="1"/>
    <col min="6" max="6" width="13.83203125" customWidth="1"/>
    <col min="7" max="7" width="15.33203125" customWidth="1"/>
  </cols>
  <sheetData>
    <row r="7" spans="1:7" ht="19" x14ac:dyDescent="0.25">
      <c r="A7" s="13" t="s">
        <v>36</v>
      </c>
      <c r="B7" s="11"/>
      <c r="C7" s="13"/>
      <c r="D7" s="13"/>
      <c r="E7" s="11"/>
      <c r="F7" s="11"/>
      <c r="G7" s="11"/>
    </row>
    <row r="8" spans="1:7" ht="52.75" customHeight="1" thickBot="1" x14ac:dyDescent="0.25"/>
    <row r="9" spans="1:7" ht="19.25" customHeight="1" thickBot="1" x14ac:dyDescent="0.25">
      <c r="B9" s="28" t="s">
        <v>27</v>
      </c>
      <c r="C9" s="29"/>
      <c r="D9" s="370">
        <f>OPAC!B12</f>
        <v>0</v>
      </c>
      <c r="E9" s="371"/>
      <c r="F9" s="372"/>
    </row>
    <row r="10" spans="1:7" ht="19.25" customHeight="1" thickBot="1" x14ac:dyDescent="0.25">
      <c r="B10" s="30"/>
      <c r="C10" s="31" t="s">
        <v>37</v>
      </c>
      <c r="D10" s="32"/>
      <c r="E10" s="33"/>
      <c r="F10" s="33"/>
    </row>
    <row r="11" spans="1:7" ht="27" customHeight="1" x14ac:dyDescent="0.2">
      <c r="B11" s="30"/>
      <c r="C11" s="30"/>
      <c r="D11" s="34" t="s">
        <v>38</v>
      </c>
    </row>
    <row r="12" spans="1:7" ht="16" thickBot="1" x14ac:dyDescent="0.25"/>
    <row r="13" spans="1:7" ht="28.25" customHeight="1" x14ac:dyDescent="0.2">
      <c r="A13" s="38" t="s">
        <v>40</v>
      </c>
      <c r="B13" s="349">
        <f>OPAC!F8</f>
        <v>0</v>
      </c>
      <c r="C13" s="349"/>
      <c r="D13" s="35" t="s">
        <v>41</v>
      </c>
      <c r="E13" s="349">
        <f>OPAC!B21</f>
        <v>0</v>
      </c>
      <c r="F13" s="349"/>
      <c r="G13" s="352"/>
    </row>
    <row r="14" spans="1:7" ht="28.25" customHeight="1" x14ac:dyDescent="0.2">
      <c r="A14" s="36" t="s">
        <v>39</v>
      </c>
      <c r="B14" s="299" t="str">
        <f>'Rapport d''audit'!B3</f>
        <v>V1 : CNEFOP, Formation, BC, VAE, CFA</v>
      </c>
      <c r="C14" s="299"/>
      <c r="D14" s="2" t="s">
        <v>42</v>
      </c>
      <c r="E14" s="250" t="str">
        <f>OPAC!B13 &amp; " " &amp; OPAC!B14 &amp; " " &amp; OPAC!B15</f>
        <v xml:space="preserve">  </v>
      </c>
      <c r="F14" s="250"/>
      <c r="G14" s="369"/>
    </row>
    <row r="15" spans="1:7" ht="42" customHeight="1" x14ac:dyDescent="0.2">
      <c r="A15" s="36" t="s">
        <v>52</v>
      </c>
      <c r="B15" s="250"/>
      <c r="C15" s="250"/>
      <c r="D15" s="250"/>
      <c r="E15" s="250"/>
      <c r="F15" s="250"/>
      <c r="G15" s="369"/>
    </row>
    <row r="16" spans="1:7" ht="45.5" customHeight="1" thickBot="1" x14ac:dyDescent="0.25">
      <c r="A16" s="39" t="s">
        <v>55</v>
      </c>
      <c r="B16" s="351"/>
      <c r="C16" s="351"/>
      <c r="D16" s="351"/>
      <c r="E16" s="351"/>
      <c r="F16" s="351"/>
      <c r="G16" s="353"/>
    </row>
    <row r="17" spans="1:12" ht="22.75" customHeight="1" thickBot="1" x14ac:dyDescent="0.25">
      <c r="H17" s="141"/>
      <c r="I17" s="141"/>
      <c r="J17" s="141"/>
      <c r="K17" s="141"/>
      <c r="L17" s="141"/>
    </row>
    <row r="18" spans="1:12" ht="15" customHeight="1" thickBot="1" x14ac:dyDescent="0.25">
      <c r="A18" s="345" t="s">
        <v>43</v>
      </c>
      <c r="B18" s="346"/>
      <c r="C18" s="346"/>
      <c r="D18" s="346"/>
      <c r="E18" s="346"/>
      <c r="F18" s="346"/>
      <c r="G18" s="347"/>
      <c r="H18" s="141"/>
      <c r="I18" s="141"/>
      <c r="J18" s="141"/>
      <c r="K18" s="141"/>
      <c r="L18" s="141"/>
    </row>
    <row r="19" spans="1:12" ht="15" customHeight="1" thickBot="1" x14ac:dyDescent="0.25">
      <c r="A19" s="359" t="s">
        <v>44</v>
      </c>
      <c r="B19" s="360"/>
      <c r="C19" s="360"/>
      <c r="D19" s="360"/>
      <c r="E19" s="360"/>
      <c r="F19" s="360"/>
      <c r="G19" s="361"/>
      <c r="H19" s="141"/>
      <c r="I19" s="141"/>
      <c r="J19" s="141"/>
      <c r="K19" s="141"/>
      <c r="L19" s="141"/>
    </row>
    <row r="20" spans="1:12" ht="56.5" customHeight="1" x14ac:dyDescent="0.2">
      <c r="A20" s="373" t="s">
        <v>125</v>
      </c>
      <c r="B20" s="374"/>
      <c r="C20" s="375"/>
      <c r="D20" s="375"/>
      <c r="E20" s="375"/>
      <c r="F20" s="375"/>
      <c r="G20" s="86"/>
      <c r="H20" s="141" t="b">
        <v>0</v>
      </c>
      <c r="I20" s="141" t="b">
        <v>0</v>
      </c>
      <c r="J20" s="141" t="b">
        <v>0</v>
      </c>
      <c r="K20" s="141" t="b">
        <v>0</v>
      </c>
      <c r="L20" s="141"/>
    </row>
    <row r="21" spans="1:12" ht="56.5" customHeight="1" x14ac:dyDescent="0.2">
      <c r="A21" s="376" t="s">
        <v>253</v>
      </c>
      <c r="B21" s="377"/>
      <c r="C21" s="377"/>
      <c r="D21" s="377"/>
      <c r="E21" s="377"/>
      <c r="F21" s="377"/>
      <c r="G21" s="378"/>
      <c r="H21" s="141"/>
      <c r="I21" s="141"/>
      <c r="J21" s="141"/>
      <c r="K21" s="141"/>
      <c r="L21" s="141"/>
    </row>
    <row r="22" spans="1:12" ht="56.5" customHeight="1" x14ac:dyDescent="0.2">
      <c r="A22" s="376" t="s">
        <v>123</v>
      </c>
      <c r="B22" s="377"/>
      <c r="C22" s="377"/>
      <c r="D22" s="377"/>
      <c r="E22" s="377"/>
      <c r="F22" s="377"/>
      <c r="G22" s="378"/>
    </row>
    <row r="23" spans="1:12" ht="56.5" customHeight="1" thickBot="1" x14ac:dyDescent="0.25">
      <c r="A23" s="379" t="s">
        <v>124</v>
      </c>
      <c r="B23" s="380"/>
      <c r="C23" s="380"/>
      <c r="D23" s="380"/>
      <c r="E23" s="380"/>
      <c r="F23" s="380"/>
      <c r="G23" s="381"/>
    </row>
    <row r="24" spans="1:12" ht="22.75" customHeight="1" thickBot="1" x14ac:dyDescent="0.25">
      <c r="A24" s="37" t="s">
        <v>45</v>
      </c>
      <c r="B24" s="362">
        <f>OPAC!B7</f>
        <v>0</v>
      </c>
      <c r="C24" s="294"/>
      <c r="D24" s="37" t="s">
        <v>46</v>
      </c>
      <c r="E24" s="292">
        <f>OPAC!F8</f>
        <v>0</v>
      </c>
      <c r="F24" s="293"/>
      <c r="G24" s="294"/>
    </row>
    <row r="25" spans="1:12" ht="24" customHeight="1" thickBot="1" x14ac:dyDescent="0.25">
      <c r="A25" s="40"/>
      <c r="D25" s="40"/>
    </row>
    <row r="26" spans="1:12" ht="15" customHeight="1" thickBot="1" x14ac:dyDescent="0.25">
      <c r="A26" s="363" t="s">
        <v>47</v>
      </c>
      <c r="B26" s="364"/>
      <c r="C26" s="364"/>
      <c r="D26" s="364"/>
      <c r="E26" s="364"/>
      <c r="F26" s="364"/>
      <c r="G26" s="365"/>
    </row>
    <row r="27" spans="1:12" ht="15" customHeight="1" thickBot="1" x14ac:dyDescent="0.25">
      <c r="A27" s="366" t="s">
        <v>71</v>
      </c>
      <c r="B27" s="367"/>
      <c r="C27" s="367"/>
      <c r="D27" s="367"/>
      <c r="E27" s="367"/>
      <c r="F27" s="367"/>
      <c r="G27" s="368"/>
    </row>
    <row r="28" spans="1:12" ht="42.5" customHeight="1" x14ac:dyDescent="0.2">
      <c r="A28" s="342"/>
      <c r="B28" s="227"/>
      <c r="C28" s="227"/>
      <c r="D28" s="227"/>
      <c r="E28" s="227"/>
      <c r="F28" s="227"/>
      <c r="G28" s="228"/>
    </row>
    <row r="29" spans="1:12" ht="42.5" customHeight="1" x14ac:dyDescent="0.2">
      <c r="A29" s="343"/>
      <c r="B29" s="229"/>
      <c r="C29" s="229"/>
      <c r="D29" s="229"/>
      <c r="E29" s="229"/>
      <c r="F29" s="229"/>
      <c r="G29" s="230"/>
    </row>
    <row r="30" spans="1:12" ht="42.5" customHeight="1" x14ac:dyDescent="0.2">
      <c r="A30" s="343"/>
      <c r="B30" s="229"/>
      <c r="C30" s="229"/>
      <c r="D30" s="229"/>
      <c r="E30" s="229"/>
      <c r="F30" s="229"/>
      <c r="G30" s="230"/>
    </row>
    <row r="31" spans="1:12" ht="42.5" customHeight="1" thickBot="1" x14ac:dyDescent="0.25">
      <c r="A31" s="344"/>
      <c r="B31" s="231"/>
      <c r="C31" s="231"/>
      <c r="D31" s="231"/>
      <c r="E31" s="231"/>
      <c r="F31" s="231"/>
      <c r="G31" s="232"/>
    </row>
    <row r="32" spans="1:12" ht="28.75" customHeight="1" thickBot="1" x14ac:dyDescent="0.25">
      <c r="A32" s="339" t="s">
        <v>176</v>
      </c>
      <c r="B32" s="340"/>
      <c r="C32" s="340"/>
      <c r="D32" s="340"/>
      <c r="E32" s="340"/>
      <c r="F32" s="340"/>
      <c r="G32" s="341"/>
    </row>
    <row r="33" spans="1:13" ht="42.5" customHeight="1" x14ac:dyDescent="0.2">
      <c r="A33" s="342"/>
      <c r="B33" s="227"/>
      <c r="C33" s="227"/>
      <c r="D33" s="227"/>
      <c r="E33" s="227"/>
      <c r="F33" s="227"/>
      <c r="G33" s="228"/>
    </row>
    <row r="34" spans="1:13" ht="42.5" customHeight="1" x14ac:dyDescent="0.2">
      <c r="A34" s="343"/>
      <c r="B34" s="229"/>
      <c r="C34" s="229"/>
      <c r="D34" s="229"/>
      <c r="E34" s="229"/>
      <c r="F34" s="229"/>
      <c r="G34" s="230"/>
    </row>
    <row r="35" spans="1:13" ht="42.5" customHeight="1" thickBot="1" x14ac:dyDescent="0.25">
      <c r="A35" s="344"/>
      <c r="B35" s="231"/>
      <c r="C35" s="231"/>
      <c r="D35" s="231"/>
      <c r="E35" s="231"/>
      <c r="F35" s="231"/>
      <c r="G35" s="232"/>
    </row>
    <row r="36" spans="1:13" ht="22.75" customHeight="1" thickBot="1" x14ac:dyDescent="0.25">
      <c r="A36" s="354" t="s">
        <v>48</v>
      </c>
      <c r="B36" s="355"/>
      <c r="C36" s="356"/>
      <c r="D36" s="357"/>
      <c r="E36" s="357"/>
      <c r="F36" s="357"/>
      <c r="G36" s="358"/>
    </row>
    <row r="37" spans="1:13" ht="22.75" customHeight="1" thickBot="1" x14ac:dyDescent="0.25">
      <c r="A37" s="37" t="s">
        <v>45</v>
      </c>
      <c r="B37" s="292"/>
      <c r="C37" s="294"/>
      <c r="D37" s="37" t="s">
        <v>46</v>
      </c>
      <c r="E37" s="292"/>
      <c r="F37" s="293"/>
      <c r="G37" s="294"/>
    </row>
    <row r="38" spans="1:13" ht="22.75" customHeight="1" thickBot="1" x14ac:dyDescent="0.25">
      <c r="M38" s="141"/>
    </row>
    <row r="39" spans="1:13" ht="15" customHeight="1" thickBot="1" x14ac:dyDescent="0.25">
      <c r="A39" s="345" t="s">
        <v>49</v>
      </c>
      <c r="B39" s="346"/>
      <c r="C39" s="346"/>
      <c r="D39" s="346"/>
      <c r="E39" s="346"/>
      <c r="F39" s="346"/>
      <c r="G39" s="347"/>
      <c r="H39" s="382"/>
      <c r="I39" s="382"/>
      <c r="M39" s="141"/>
    </row>
    <row r="40" spans="1:13" ht="22.75" customHeight="1" x14ac:dyDescent="0.2">
      <c r="A40" s="348" t="s">
        <v>73</v>
      </c>
      <c r="B40" s="349"/>
      <c r="C40" s="349"/>
      <c r="D40" s="349"/>
      <c r="E40" s="349" t="s">
        <v>50</v>
      </c>
      <c r="F40" s="349"/>
      <c r="G40" s="352"/>
      <c r="H40" s="383" t="b">
        <v>0</v>
      </c>
      <c r="I40" s="382"/>
      <c r="M40" s="141"/>
    </row>
    <row r="41" spans="1:13" ht="22.75" customHeight="1" thickBot="1" x14ac:dyDescent="0.25">
      <c r="A41" s="350"/>
      <c r="B41" s="351"/>
      <c r="C41" s="351"/>
      <c r="D41" s="351"/>
      <c r="E41" s="351" t="s">
        <v>51</v>
      </c>
      <c r="F41" s="351"/>
      <c r="G41" s="353"/>
      <c r="H41" s="383" t="b">
        <v>0</v>
      </c>
      <c r="I41" s="382"/>
      <c r="M41" s="141"/>
    </row>
    <row r="42" spans="1:13" ht="16" thickBot="1" x14ac:dyDescent="0.25">
      <c r="A42" s="339" t="s">
        <v>74</v>
      </c>
      <c r="B42" s="340"/>
      <c r="C42" s="340"/>
      <c r="D42" s="340"/>
      <c r="E42" s="340"/>
      <c r="F42" s="340"/>
      <c r="G42" s="341"/>
      <c r="H42" s="382"/>
      <c r="I42" s="382"/>
      <c r="M42" s="141"/>
    </row>
    <row r="43" spans="1:13" ht="42.5" customHeight="1" x14ac:dyDescent="0.2">
      <c r="A43" s="342"/>
      <c r="B43" s="227"/>
      <c r="C43" s="227"/>
      <c r="D43" s="227"/>
      <c r="E43" s="227"/>
      <c r="F43" s="227"/>
      <c r="G43" s="228"/>
      <c r="H43" s="382"/>
      <c r="I43" s="382"/>
      <c r="M43" s="141"/>
    </row>
    <row r="44" spans="1:13" ht="42.5" customHeight="1" x14ac:dyDescent="0.2">
      <c r="A44" s="343"/>
      <c r="B44" s="229"/>
      <c r="C44" s="229"/>
      <c r="D44" s="229"/>
      <c r="E44" s="229"/>
      <c r="F44" s="229"/>
      <c r="G44" s="230"/>
      <c r="H44" s="141"/>
      <c r="I44" s="141"/>
      <c r="J44" s="141"/>
      <c r="K44" s="141"/>
      <c r="L44" s="141"/>
      <c r="M44" s="141"/>
    </row>
    <row r="45" spans="1:13" ht="42.5" customHeight="1" thickBot="1" x14ac:dyDescent="0.25">
      <c r="A45" s="344"/>
      <c r="B45" s="231"/>
      <c r="C45" s="231"/>
      <c r="D45" s="231"/>
      <c r="E45" s="231"/>
      <c r="F45" s="231"/>
      <c r="G45" s="232"/>
    </row>
    <row r="46" spans="1:13" ht="22.75" customHeight="1" thickBot="1" x14ac:dyDescent="0.25">
      <c r="A46" s="37" t="s">
        <v>45</v>
      </c>
      <c r="B46" s="292"/>
      <c r="C46" s="294"/>
      <c r="D46" s="37" t="s">
        <v>46</v>
      </c>
      <c r="E46" s="292">
        <f>OPAC!F8</f>
        <v>0</v>
      </c>
      <c r="F46" s="293"/>
      <c r="G46" s="294"/>
    </row>
  </sheetData>
  <mergeCells count="33">
    <mergeCell ref="E41:G41"/>
    <mergeCell ref="A40:D41"/>
    <mergeCell ref="A28:G31"/>
    <mergeCell ref="A33:G35"/>
    <mergeCell ref="B15:G15"/>
    <mergeCell ref="A39:G39"/>
    <mergeCell ref="E40:G40"/>
    <mergeCell ref="A18:G18"/>
    <mergeCell ref="A19:G19"/>
    <mergeCell ref="B16:G16"/>
    <mergeCell ref="B24:C24"/>
    <mergeCell ref="E24:G24"/>
    <mergeCell ref="D9:F9"/>
    <mergeCell ref="B13:C13"/>
    <mergeCell ref="B14:C14"/>
    <mergeCell ref="E13:G13"/>
    <mergeCell ref="E14:G14"/>
    <mergeCell ref="B46:C46"/>
    <mergeCell ref="E46:G46"/>
    <mergeCell ref="A36:B36"/>
    <mergeCell ref="A20:C20"/>
    <mergeCell ref="D20:F20"/>
    <mergeCell ref="A21:G21"/>
    <mergeCell ref="A22:G22"/>
    <mergeCell ref="A23:G23"/>
    <mergeCell ref="A42:G42"/>
    <mergeCell ref="A43:G45"/>
    <mergeCell ref="A26:G26"/>
    <mergeCell ref="A27:G27"/>
    <mergeCell ref="A32:G32"/>
    <mergeCell ref="E37:G37"/>
    <mergeCell ref="B37:C37"/>
    <mergeCell ref="C36:G36"/>
  </mergeCells>
  <pageMargins left="0.7" right="0.7" top="0.75" bottom="0.75" header="0.3" footer="0.3"/>
  <pageSetup paperSize="9" scale="65"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ltText="">
                <anchor moveWithCells="1">
                  <from>
                    <xdr:col>5</xdr:col>
                    <xdr:colOff>800100</xdr:colOff>
                    <xdr:row>39</xdr:row>
                    <xdr:rowOff>38100</xdr:rowOff>
                  </from>
                  <to>
                    <xdr:col>5</xdr:col>
                    <xdr:colOff>990600</xdr:colOff>
                    <xdr:row>39</xdr:row>
                    <xdr:rowOff>266700</xdr:rowOff>
                  </to>
                </anchor>
              </controlPr>
            </control>
          </mc:Choice>
        </mc:AlternateContent>
        <mc:AlternateContent xmlns:mc="http://schemas.openxmlformats.org/markup-compatibility/2006">
          <mc:Choice Requires="x14">
            <control shapeId="5122" r:id="rId5" name="Check Box 2">
              <controlPr defaultSize="0" autoFill="0" autoLine="0" autoPict="0" altText="">
                <anchor moveWithCells="1">
                  <from>
                    <xdr:col>6</xdr:col>
                    <xdr:colOff>406400</xdr:colOff>
                    <xdr:row>40</xdr:row>
                    <xdr:rowOff>50800</xdr:rowOff>
                  </from>
                  <to>
                    <xdr:col>6</xdr:col>
                    <xdr:colOff>647700</xdr:colOff>
                    <xdr:row>40</xdr:row>
                    <xdr:rowOff>266700</xdr:rowOff>
                  </to>
                </anchor>
              </controlPr>
            </control>
          </mc:Choice>
        </mc:AlternateContent>
        <mc:AlternateContent xmlns:mc="http://schemas.openxmlformats.org/markup-compatibility/2006">
          <mc:Choice Requires="x14">
            <control shapeId="5126" r:id="rId6" name="Check Box 6">
              <controlPr defaultSize="0" autoFill="0" autoLine="0" autoPict="0">
                <anchor moveWithCells="1">
                  <from>
                    <xdr:col>2</xdr:col>
                    <xdr:colOff>1308100</xdr:colOff>
                    <xdr:row>18</xdr:row>
                    <xdr:rowOff>127000</xdr:rowOff>
                  </from>
                  <to>
                    <xdr:col>3</xdr:col>
                    <xdr:colOff>1079500</xdr:colOff>
                    <xdr:row>19</xdr:row>
                    <xdr:rowOff>317500</xdr:rowOff>
                  </to>
                </anchor>
              </controlPr>
            </control>
          </mc:Choice>
        </mc:AlternateContent>
        <mc:AlternateContent xmlns:mc="http://schemas.openxmlformats.org/markup-compatibility/2006">
          <mc:Choice Requires="x14">
            <control shapeId="5127" r:id="rId7" name="Check Box 7">
              <controlPr defaultSize="0" autoFill="0" autoLine="0" autoPict="0">
                <anchor moveWithCells="1">
                  <from>
                    <xdr:col>2</xdr:col>
                    <xdr:colOff>1295400</xdr:colOff>
                    <xdr:row>19</xdr:row>
                    <xdr:rowOff>190500</xdr:rowOff>
                  </from>
                  <to>
                    <xdr:col>3</xdr:col>
                    <xdr:colOff>1193800</xdr:colOff>
                    <xdr:row>19</xdr:row>
                    <xdr:rowOff>571500</xdr:rowOff>
                  </to>
                </anchor>
              </controlPr>
            </control>
          </mc:Choice>
        </mc:AlternateContent>
        <mc:AlternateContent xmlns:mc="http://schemas.openxmlformats.org/markup-compatibility/2006">
          <mc:Choice Requires="x14">
            <control shapeId="5128" r:id="rId8" name="Check Box 8">
              <controlPr defaultSize="0" autoFill="0" autoLine="0" autoPict="0">
                <anchor moveWithCells="1">
                  <from>
                    <xdr:col>3</xdr:col>
                    <xdr:colOff>1422400</xdr:colOff>
                    <xdr:row>19</xdr:row>
                    <xdr:rowOff>177800</xdr:rowOff>
                  </from>
                  <to>
                    <xdr:col>3</xdr:col>
                    <xdr:colOff>2235200</xdr:colOff>
                    <xdr:row>19</xdr:row>
                    <xdr:rowOff>558800</xdr:rowOff>
                  </to>
                </anchor>
              </controlPr>
            </control>
          </mc:Choice>
        </mc:AlternateContent>
        <mc:AlternateContent xmlns:mc="http://schemas.openxmlformats.org/markup-compatibility/2006">
          <mc:Choice Requires="x14">
            <control shapeId="5129" r:id="rId9" name="Check Box 9">
              <controlPr defaultSize="0" autoFill="0" autoLine="0" autoPict="0">
                <anchor moveWithCells="1">
                  <from>
                    <xdr:col>3</xdr:col>
                    <xdr:colOff>1422400</xdr:colOff>
                    <xdr:row>18</xdr:row>
                    <xdr:rowOff>114300</xdr:rowOff>
                  </from>
                  <to>
                    <xdr:col>3</xdr:col>
                    <xdr:colOff>2235200</xdr:colOff>
                    <xdr:row>19</xdr:row>
                    <xdr:rowOff>304800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Feuilles de calcul</vt:lpstr>
      </vt:variant>
      <vt:variant>
        <vt:i4>9</vt:i4>
      </vt:variant>
      <vt:variant>
        <vt:lpstr>Plages nommées</vt:lpstr>
      </vt:variant>
      <vt:variant>
        <vt:i4>6</vt:i4>
      </vt:variant>
    </vt:vector>
  </HeadingPairs>
  <TitlesOfParts>
    <vt:vector size="15" baseType="lpstr">
      <vt:lpstr>Page de garde</vt:lpstr>
      <vt:lpstr>OPAC</vt:lpstr>
      <vt:lpstr>OPAC multisite</vt:lpstr>
      <vt:lpstr>Plan d'audit</vt:lpstr>
      <vt:lpstr>Rapport d'audit</vt:lpstr>
      <vt:lpstr>Feuille de présence</vt:lpstr>
      <vt:lpstr>Traitement des NC</vt:lpstr>
      <vt:lpstr>Fiche NC Maj si 5 Min ou +</vt:lpstr>
      <vt:lpstr>Ex non conformite</vt:lpstr>
      <vt:lpstr>'Page de garde'!_Hlk497853587</vt:lpstr>
      <vt:lpstr>'Ex non conformite'!_Hlk508058974</vt:lpstr>
      <vt:lpstr>'Ex non conformite'!_Hlk8916972</vt:lpstr>
      <vt:lpstr>Ministèere</vt:lpstr>
      <vt:lpstr>'Traitement des NC'!Print_Area</vt:lpstr>
      <vt:lpstr>'OPAC multisite'!Zone_d_impression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YvesZenBook</dc:creator>
  <cp:lastModifiedBy>Clément Remillieux</cp:lastModifiedBy>
  <cp:lastPrinted>2023-07-10T14:52:22Z</cp:lastPrinted>
  <dcterms:created xsi:type="dcterms:W3CDTF">2019-06-18T21:22:41Z</dcterms:created>
  <dcterms:modified xsi:type="dcterms:W3CDTF">2024-08-19T12:07:20Z</dcterms:modified>
</cp:coreProperties>
</file>